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P:\PB Portaal\03_PROJECTVOORBEREIDING\1_Standaard blanco documenten\Prijsvergelijken\"/>
    </mc:Choice>
  </mc:AlternateContent>
  <xr:revisionPtr revIDLastSave="0" documentId="13_ncr:1_{DD631F35-FF77-4EBB-B7C8-1928B800A01D}" xr6:coauthVersionLast="47" xr6:coauthVersionMax="47" xr10:uidLastSave="{00000000-0000-0000-0000-000000000000}"/>
  <bookViews>
    <workbookView xWindow="28800" yWindow="-21840" windowWidth="38620" windowHeight="21100" tabRatio="608" activeTab="4" xr2:uid="{8A4C3576-1A41-41CC-833A-0FA140D16172}"/>
  </bookViews>
  <sheets>
    <sheet name="Versiebeheer" sheetId="1" r:id="rId1"/>
    <sheet name="Kennisbank" sheetId="2" r:id="rId2"/>
    <sheet name="Uittrekstaat" sheetId="19" r:id="rId3"/>
    <sheet name="Pvg calc" sheetId="6" r:id="rId4"/>
    <sheet name="Pvg wvb" sheetId="27" r:id="rId5"/>
    <sheet name="Contract" sheetId="28" r:id="rId6"/>
    <sheet name="Werkbegroting" sheetId="21" r:id="rId7"/>
    <sheet name="Data en verwijzingen" sheetId="24" state="hidden" r:id="rId8"/>
  </sheets>
  <definedNames>
    <definedName name="_xlnm.Print_Area" localSheetId="5">Contract!$G$1:$Z$149</definedName>
    <definedName name="_xlnm.Print_Area" localSheetId="1">Kennisbank!$B$1:$G$268</definedName>
    <definedName name="_xlnm.Print_Area" localSheetId="3">'Pvg calc'!$G$1:$Z$142</definedName>
    <definedName name="_xlnm.Print_Area" localSheetId="4">'Pvg wvb'!$G$1:$Z$149</definedName>
    <definedName name="_xlnm.Print_Area" localSheetId="2">Uittrekstaat!$A$1:$Q$195</definedName>
    <definedName name="_xlnm.Print_Area" localSheetId="6">Werkbegroting!#REF!</definedName>
    <definedName name="_xlnm.Print_Titles" localSheetId="5">Contract!$1:$9</definedName>
    <definedName name="_xlnm.Print_Titles" localSheetId="3">'Pvg calc'!$1:$9</definedName>
    <definedName name="_xlnm.Print_Titles" localSheetId="4">'Pvg wvb'!$1:$9</definedName>
    <definedName name="_xlnm.Print_Titles" localSheetId="2">Uittrekstaat!$1:$10</definedName>
    <definedName name="_xlnm.Print_Titles" localSheetId="6">Werkbegroting!#REF!</definedName>
    <definedName name="Slicer_Kolom2">#N/A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1" i="28" l="1"/>
  <c r="A157" i="28"/>
  <c r="A153" i="28"/>
  <c r="Y49" i="28"/>
  <c r="S49" i="28"/>
  <c r="M49" i="28"/>
  <c r="F49" i="28"/>
  <c r="Y48" i="28"/>
  <c r="S48" i="28"/>
  <c r="M48" i="28"/>
  <c r="F48" i="28"/>
  <c r="Y47" i="28"/>
  <c r="S47" i="28"/>
  <c r="M47" i="28"/>
  <c r="F47" i="28"/>
  <c r="Y46" i="28"/>
  <c r="S46" i="28"/>
  <c r="M46" i="28"/>
  <c r="F46" i="28"/>
  <c r="Y45" i="28"/>
  <c r="S45" i="28"/>
  <c r="M45" i="28"/>
  <c r="F45" i="28"/>
  <c r="Y44" i="28"/>
  <c r="S44" i="28"/>
  <c r="M44" i="28"/>
  <c r="F44" i="28"/>
  <c r="Y43" i="28"/>
  <c r="S43" i="28"/>
  <c r="M43" i="28"/>
  <c r="F43" i="28"/>
  <c r="Y42" i="28"/>
  <c r="S42" i="28"/>
  <c r="M42" i="28"/>
  <c r="F42" i="28"/>
  <c r="Y41" i="28"/>
  <c r="S41" i="28"/>
  <c r="M41" i="28"/>
  <c r="F41" i="28"/>
  <c r="Y40" i="28"/>
  <c r="S40" i="28"/>
  <c r="M40" i="28"/>
  <c r="F40" i="28"/>
  <c r="Y39" i="28"/>
  <c r="S39" i="28"/>
  <c r="M39" i="28"/>
  <c r="F39" i="28"/>
  <c r="Y38" i="28"/>
  <c r="S38" i="28"/>
  <c r="M38" i="28"/>
  <c r="F38" i="28"/>
  <c r="Y37" i="28"/>
  <c r="S37" i="28"/>
  <c r="M37" i="28"/>
  <c r="F37" i="28"/>
  <c r="Y36" i="28"/>
  <c r="S36" i="28"/>
  <c r="M36" i="28"/>
  <c r="F36" i="28"/>
  <c r="Y35" i="28"/>
  <c r="S35" i="28"/>
  <c r="M35" i="28"/>
  <c r="F35" i="28"/>
  <c r="Y34" i="28"/>
  <c r="S34" i="28"/>
  <c r="M34" i="28"/>
  <c r="F34" i="28"/>
  <c r="Y33" i="28"/>
  <c r="S33" i="28"/>
  <c r="M33" i="28"/>
  <c r="F33" i="28"/>
  <c r="Y32" i="28"/>
  <c r="S32" i="28"/>
  <c r="M32" i="28"/>
  <c r="F32" i="28"/>
  <c r="Y31" i="28"/>
  <c r="S31" i="28"/>
  <c r="M31" i="28"/>
  <c r="F31" i="28"/>
  <c r="Y30" i="28"/>
  <c r="S30" i="28"/>
  <c r="M30" i="28"/>
  <c r="F30" i="28"/>
  <c r="Y29" i="28"/>
  <c r="S29" i="28"/>
  <c r="M29" i="28"/>
  <c r="F29" i="28"/>
  <c r="Y28" i="28"/>
  <c r="S28" i="28"/>
  <c r="M28" i="28"/>
  <c r="F28" i="28"/>
  <c r="Y27" i="28"/>
  <c r="S27" i="28"/>
  <c r="M27" i="28"/>
  <c r="F27" i="28"/>
  <c r="Y26" i="28"/>
  <c r="S26" i="28"/>
  <c r="M26" i="28"/>
  <c r="F26" i="28"/>
  <c r="Y25" i="28"/>
  <c r="S25" i="28"/>
  <c r="M25" i="28"/>
  <c r="F25" i="28"/>
  <c r="Y24" i="28"/>
  <c r="S24" i="28"/>
  <c r="M24" i="28"/>
  <c r="F24" i="28"/>
  <c r="Y23" i="28"/>
  <c r="S23" i="28"/>
  <c r="M23" i="28"/>
  <c r="F23" i="28"/>
  <c r="Y22" i="28"/>
  <c r="S22" i="28"/>
  <c r="M22" i="28"/>
  <c r="F22" i="28"/>
  <c r="Y21" i="28"/>
  <c r="S21" i="28"/>
  <c r="M21" i="28"/>
  <c r="F21" i="28"/>
  <c r="Y20" i="28"/>
  <c r="S20" i="28"/>
  <c r="M20" i="28"/>
  <c r="F20" i="28"/>
  <c r="Y19" i="28"/>
  <c r="S19" i="28"/>
  <c r="M19" i="28"/>
  <c r="F19" i="28"/>
  <c r="A161" i="27"/>
  <c r="A157" i="27"/>
  <c r="A153" i="27"/>
  <c r="Y49" i="27"/>
  <c r="S49" i="27"/>
  <c r="M49" i="27"/>
  <c r="F49" i="27"/>
  <c r="Y48" i="27"/>
  <c r="S48" i="27"/>
  <c r="M48" i="27"/>
  <c r="F48" i="27"/>
  <c r="Y47" i="27"/>
  <c r="S47" i="27"/>
  <c r="M47" i="27"/>
  <c r="F47" i="27"/>
  <c r="Y46" i="27"/>
  <c r="S46" i="27"/>
  <c r="M46" i="27"/>
  <c r="F46" i="27"/>
  <c r="Y45" i="27"/>
  <c r="S45" i="27"/>
  <c r="M45" i="27"/>
  <c r="F45" i="27"/>
  <c r="Y44" i="27"/>
  <c r="S44" i="27"/>
  <c r="M44" i="27"/>
  <c r="F44" i="27"/>
  <c r="Y43" i="27"/>
  <c r="S43" i="27"/>
  <c r="M43" i="27"/>
  <c r="F43" i="27"/>
  <c r="Y42" i="27"/>
  <c r="S42" i="27"/>
  <c r="M42" i="27"/>
  <c r="F42" i="27"/>
  <c r="Y41" i="27"/>
  <c r="S41" i="27"/>
  <c r="M41" i="27"/>
  <c r="F41" i="27"/>
  <c r="Y40" i="27"/>
  <c r="S40" i="27"/>
  <c r="M40" i="27"/>
  <c r="F40" i="27"/>
  <c r="Y39" i="27"/>
  <c r="S39" i="27"/>
  <c r="M39" i="27"/>
  <c r="F39" i="27"/>
  <c r="Y38" i="27"/>
  <c r="S38" i="27"/>
  <c r="M38" i="27"/>
  <c r="F38" i="27"/>
  <c r="Y37" i="27"/>
  <c r="S37" i="27"/>
  <c r="M37" i="27"/>
  <c r="F37" i="27"/>
  <c r="Y36" i="27"/>
  <c r="S36" i="27"/>
  <c r="M36" i="27"/>
  <c r="F36" i="27"/>
  <c r="Y35" i="27"/>
  <c r="S35" i="27"/>
  <c r="M35" i="27"/>
  <c r="F35" i="27"/>
  <c r="Y34" i="27"/>
  <c r="S34" i="27"/>
  <c r="M34" i="27"/>
  <c r="F34" i="27"/>
  <c r="Y33" i="27"/>
  <c r="S33" i="27"/>
  <c r="M33" i="27"/>
  <c r="F33" i="27"/>
  <c r="Y32" i="27"/>
  <c r="S32" i="27"/>
  <c r="M32" i="27"/>
  <c r="F32" i="27"/>
  <c r="Y31" i="27"/>
  <c r="S31" i="27"/>
  <c r="M31" i="27"/>
  <c r="F31" i="27"/>
  <c r="Y30" i="27"/>
  <c r="S30" i="27"/>
  <c r="M30" i="27"/>
  <c r="F30" i="27"/>
  <c r="Y29" i="27"/>
  <c r="S29" i="27"/>
  <c r="M29" i="27"/>
  <c r="F29" i="27"/>
  <c r="Y28" i="27"/>
  <c r="S28" i="27"/>
  <c r="M28" i="27"/>
  <c r="F28" i="27"/>
  <c r="Y27" i="27"/>
  <c r="S27" i="27"/>
  <c r="M27" i="27"/>
  <c r="F27" i="27"/>
  <c r="Y26" i="27"/>
  <c r="S26" i="27"/>
  <c r="M26" i="27"/>
  <c r="F26" i="27"/>
  <c r="Y25" i="27"/>
  <c r="S25" i="27"/>
  <c r="M25" i="27"/>
  <c r="F25" i="27"/>
  <c r="Y24" i="27"/>
  <c r="S24" i="27"/>
  <c r="M24" i="27"/>
  <c r="F24" i="27"/>
  <c r="Y23" i="27"/>
  <c r="S23" i="27"/>
  <c r="M23" i="27"/>
  <c r="F23" i="27"/>
  <c r="Y22" i="27"/>
  <c r="S22" i="27"/>
  <c r="M22" i="27"/>
  <c r="F22" i="27"/>
  <c r="Y21" i="27"/>
  <c r="S21" i="27"/>
  <c r="M21" i="27"/>
  <c r="F21" i="27"/>
  <c r="Y20" i="27"/>
  <c r="S20" i="27"/>
  <c r="M20" i="27"/>
  <c r="F20" i="27"/>
  <c r="Y19" i="27"/>
  <c r="S19" i="27"/>
  <c r="M19" i="27"/>
  <c r="F19" i="27"/>
  <c r="Y46" i="6"/>
  <c r="S46" i="6"/>
  <c r="M46" i="6"/>
  <c r="F46" i="6"/>
  <c r="Y45" i="6"/>
  <c r="S45" i="6"/>
  <c r="M45" i="6"/>
  <c r="F45" i="6"/>
  <c r="Y47" i="6"/>
  <c r="S47" i="6"/>
  <c r="M47" i="6"/>
  <c r="F47" i="6"/>
  <c r="F149" i="28" l="1"/>
  <c r="M149" i="28"/>
  <c r="E153" i="28" s="1"/>
  <c r="S149" i="28"/>
  <c r="E157" i="28" s="1"/>
  <c r="Y149" i="28"/>
  <c r="E161" i="28" s="1"/>
  <c r="F149" i="27"/>
  <c r="M149" i="27"/>
  <c r="E153" i="27" s="1"/>
  <c r="S149" i="27"/>
  <c r="E157" i="27" s="1"/>
  <c r="Y149" i="27"/>
  <c r="E161" i="27" s="1"/>
  <c r="Y30" i="6"/>
  <c r="S30" i="6"/>
  <c r="M30" i="6"/>
  <c r="F30" i="6"/>
  <c r="Y29" i="6"/>
  <c r="S29" i="6"/>
  <c r="M29" i="6"/>
  <c r="F29" i="6"/>
  <c r="Y28" i="6"/>
  <c r="S28" i="6"/>
  <c r="M28" i="6"/>
  <c r="F28" i="6"/>
  <c r="S27" i="6"/>
  <c r="S22" i="6"/>
  <c r="S20" i="6"/>
  <c r="S43" i="6"/>
  <c r="M21" i="6"/>
  <c r="E155" i="28" l="1"/>
  <c r="E154" i="28" s="1"/>
  <c r="E159" i="28"/>
  <c r="E158" i="28" s="1"/>
  <c r="E163" i="28"/>
  <c r="E162" i="28" s="1"/>
  <c r="E163" i="27"/>
  <c r="E162" i="27" s="1"/>
  <c r="E155" i="27"/>
  <c r="E154" i="27" s="1"/>
  <c r="E159" i="27"/>
  <c r="E158" i="27" s="1"/>
  <c r="S36" i="6"/>
  <c r="A154" i="6"/>
  <c r="A150" i="6"/>
  <c r="A146" i="6"/>
  <c r="Y49" i="6"/>
  <c r="Y48" i="6"/>
  <c r="Y44" i="6"/>
  <c r="Y43" i="6"/>
  <c r="Y42" i="6"/>
  <c r="Y41" i="6"/>
  <c r="Y40" i="6"/>
  <c r="Y39" i="6"/>
  <c r="Y38" i="6"/>
  <c r="Y37" i="6"/>
  <c r="Y36" i="6"/>
  <c r="Y35" i="6"/>
  <c r="Y34" i="6"/>
  <c r="Y33" i="6"/>
  <c r="Y32" i="6"/>
  <c r="Y31" i="6"/>
  <c r="Y27" i="6"/>
  <c r="Y26" i="6"/>
  <c r="Y25" i="6"/>
  <c r="Y24" i="6"/>
  <c r="Y23" i="6"/>
  <c r="Y22" i="6"/>
  <c r="Y21" i="6"/>
  <c r="Y20" i="6"/>
  <c r="Y19" i="6"/>
  <c r="S49" i="6"/>
  <c r="S48" i="6"/>
  <c r="S44" i="6"/>
  <c r="S42" i="6"/>
  <c r="S41" i="6"/>
  <c r="S40" i="6"/>
  <c r="S39" i="6"/>
  <c r="S38" i="6"/>
  <c r="S37" i="6"/>
  <c r="S35" i="6"/>
  <c r="S34" i="6"/>
  <c r="S33" i="6"/>
  <c r="S32" i="6"/>
  <c r="S31" i="6"/>
  <c r="S26" i="6"/>
  <c r="S25" i="6"/>
  <c r="S24" i="6"/>
  <c r="S23" i="6"/>
  <c r="S21" i="6"/>
  <c r="S19" i="6"/>
  <c r="S142" i="6" l="1"/>
  <c r="Y142" i="6"/>
  <c r="M34" i="6"/>
  <c r="M20" i="6"/>
  <c r="M22" i="6"/>
  <c r="M23" i="6"/>
  <c r="M24" i="6"/>
  <c r="M25" i="6"/>
  <c r="M26" i="6"/>
  <c r="M27" i="6"/>
  <c r="M19" i="6" l="1"/>
  <c r="M31" i="6"/>
  <c r="M32" i="6"/>
  <c r="M33" i="6"/>
  <c r="M35" i="6"/>
  <c r="M36" i="6"/>
  <c r="M37" i="6"/>
  <c r="M38" i="6"/>
  <c r="M39" i="6"/>
  <c r="M40" i="6"/>
  <c r="M41" i="6"/>
  <c r="M42" i="6"/>
  <c r="M43" i="6"/>
  <c r="M44" i="6"/>
  <c r="M48" i="6"/>
  <c r="M49" i="6"/>
  <c r="F33" i="6"/>
  <c r="F44" i="6"/>
  <c r="F48" i="6"/>
  <c r="F49" i="6"/>
  <c r="F38" i="6"/>
  <c r="F39" i="6"/>
  <c r="F40" i="6"/>
  <c r="F41" i="6"/>
  <c r="F42" i="6"/>
  <c r="F43" i="6"/>
  <c r="F20" i="6"/>
  <c r="F21" i="6"/>
  <c r="F22" i="6"/>
  <c r="F23" i="6"/>
  <c r="F24" i="6"/>
  <c r="F25" i="6"/>
  <c r="F26" i="6"/>
  <c r="F27" i="6"/>
  <c r="F31" i="6"/>
  <c r="F32" i="6"/>
  <c r="F34" i="6"/>
  <c r="F35" i="6"/>
  <c r="F36" i="6"/>
  <c r="F37" i="6"/>
  <c r="F19" i="6"/>
  <c r="M142" i="6" l="1"/>
  <c r="E150" i="6"/>
  <c r="F142" i="6"/>
  <c r="E146" i="6" l="1"/>
  <c r="E156" i="6"/>
  <c r="E155" i="6" s="1"/>
  <c r="E152" i="6"/>
  <c r="E151" i="6" s="1"/>
  <c r="E154" i="6"/>
  <c r="E148" i="6" l="1"/>
  <c r="E147" i="6" s="1"/>
</calcChain>
</file>

<file path=xl/sharedStrings.xml><?xml version="1.0" encoding="utf-8"?>
<sst xmlns="http://schemas.openxmlformats.org/spreadsheetml/2006/main" count="1452" uniqueCount="564">
  <si>
    <t>Datum</t>
  </si>
  <si>
    <t>Omschijving</t>
  </si>
  <si>
    <t>Versienummer</t>
  </si>
  <si>
    <t>23.1</t>
  </si>
  <si>
    <t>nr.</t>
  </si>
  <si>
    <t>Onderdeelspecifiek, inclusief:</t>
  </si>
  <si>
    <t>220 bouwliften</t>
  </si>
  <si>
    <t>Optoppen en aftoppen per 2 of 3 verdiepingen;</t>
  </si>
  <si>
    <t>Snelheid zeer van belang. Ook bepalen voor bouwstroom;</t>
  </si>
  <si>
    <t>Sommige liften hebben aanvullend bordes nodig aan steiger of vloer;</t>
  </si>
  <si>
    <t>Afspreken termijn van keuring  (frequentie)</t>
  </si>
  <si>
    <t>Aanleveren op palets (is bij stenen niet standaard);</t>
  </si>
  <si>
    <t>Afpurren bovenzijde kalkzandsteenwand;</t>
  </si>
  <si>
    <t>Geen kalkzandsteen toepassen bij wand hoger dan 7 meter;</t>
  </si>
  <si>
    <t>220 steigerwerk</t>
  </si>
  <si>
    <t>Binnenleuningen toepassen voor veiligheid als afstand tot gevel te groot is;</t>
  </si>
  <si>
    <t>Losse klimtoren benodigd? Dubbele vluchtweg tijdens uitvoering benodigd;</t>
  </si>
  <si>
    <t>Steigerwerk tbv werkzaamheden in de trappenhuizen.</t>
  </si>
  <si>
    <t>230 prefab betonskelet</t>
  </si>
  <si>
    <t>Bij het toepassen van prefab-betonelementen zijn doorkoppelankers benodigd. Konnectie-, indraai- en stekankers etc. Als je vooraf met de leverancier afspreekt dat hij de aantallen en types vermeldt, scheelt dat veel werkvoorbereidingstijd. Bovendien kan er minder fout gaan in de communicatie tussen bijvoorbeeld Hakron, werkvoorbereiding en uitvoering;</t>
  </si>
  <si>
    <t>Ondersabelen of ondergieten van elementen (bij voorkeur door cascobouwer);</t>
  </si>
  <si>
    <t>Koppelwapening onderlinge betonelementen door prefab leverancier (ingestorte stekken of demu's + stekankers);</t>
  </si>
  <si>
    <t>Prefab beton zo min mogelijk i.c.m. staalconstructie toepassen (i.v.m. engineering, krachtoverdracht e.d.);</t>
  </si>
  <si>
    <t>Gasbeton: begroten dat het geschilderd moet worden aan de zijden waar een betonvloer aansluit; wordt doorgaans vies door water op de vloeren en andrere opvolgende werkzaamheden</t>
  </si>
  <si>
    <t>330 bitumineuze dakbedekking</t>
  </si>
  <si>
    <t>Inkoop: verticaal transport dakbedekking en isolatie;</t>
  </si>
  <si>
    <t>Afschot in constructie of isolatie;</t>
  </si>
  <si>
    <t>Ronde kolommen en lastige hoeken insmeren met triflex;</t>
  </si>
  <si>
    <t>Bitumineuze dakbedekking rechtstreeks op beton (bijvoorbeeld ongeisoleerde parkeergarage). Altijd betonvloer stralen/schoonspuiten om hechtingsproblemen te voorkomen;</t>
  </si>
  <si>
    <t>Sedum kan conform Nederlands regelgeving niet fungeren als balast op dakbedekking. Mechanische bevestiging blijft van toepassing;</t>
  </si>
  <si>
    <t>Steenwol toepassen bij doorvoeren in het dak; brandweer Utrecht eist dit. Goed om rekening mee te houden</t>
  </si>
  <si>
    <t>Onderdeel</t>
  </si>
  <si>
    <t>:</t>
  </si>
  <si>
    <t>Datum:</t>
  </si>
  <si>
    <t>Gewijzigd:</t>
  </si>
  <si>
    <t>[st]</t>
  </si>
  <si>
    <t>HOEVEELHEID</t>
  </si>
  <si>
    <t>onderdeel</t>
  </si>
  <si>
    <t>totaal</t>
  </si>
  <si>
    <t>V E R S I E B E H E E R</t>
  </si>
  <si>
    <t>inclusief</t>
  </si>
  <si>
    <t>exclusief</t>
  </si>
  <si>
    <t>nazien</t>
  </si>
  <si>
    <t>B E G R O O T</t>
  </si>
  <si>
    <t xml:space="preserve">W E R K O M S C H R I J V I N G </t>
  </si>
  <si>
    <t>O F F E R T E / A A N B I E D I N G</t>
  </si>
  <si>
    <t>Onderdeel:</t>
  </si>
  <si>
    <t>Bedrijf:</t>
  </si>
  <si>
    <t>Projectnaam:</t>
  </si>
  <si>
    <t>Opsteller:</t>
  </si>
  <si>
    <t>opmerking</t>
  </si>
  <si>
    <t>Contactpersoon:</t>
  </si>
  <si>
    <t>bewakingscode</t>
  </si>
  <si>
    <t>A.</t>
  </si>
  <si>
    <t>Uitgangspunten (beschikbaar gestelde informatie):</t>
  </si>
  <si>
    <t>B.</t>
  </si>
  <si>
    <t>C.</t>
  </si>
  <si>
    <t>Onderdeelspecifiek, inclusief;</t>
  </si>
  <si>
    <t>D.</t>
  </si>
  <si>
    <t>Nazien welke credits voor dit project van toepassing zijn;</t>
  </si>
  <si>
    <t>Nazien welke credits voor dit onderdeel van toepassing zijn;</t>
  </si>
  <si>
    <t>E.</t>
  </si>
  <si>
    <t>Leveren met zelflosser;</t>
  </si>
  <si>
    <t>In het werk inmeten;</t>
  </si>
  <si>
    <t>Maatvoering/stellen van deze onderdelen;</t>
  </si>
  <si>
    <t>Horizontaal en verticaal transport, inclusief kraan en/of overig materieel;</t>
  </si>
  <si>
    <t>Tekeningen worden enkel digitaal verstrekt (wijzigingen ook);</t>
  </si>
  <si>
    <t>Het maken van een VenG (deel)plan en werkplan;</t>
  </si>
  <si>
    <t>Al het (huur) materieel, materiaal en hulpgereedschap voor eigen gebruik, inclusief steigers, stempels, schoren etc. ten behoeve van een juist, net en deugdelijk stuk werk;</t>
  </si>
  <si>
    <t>(RVS) bevestigingsmiddelen;</t>
  </si>
  <si>
    <t>Aanbrengen van alle manchetten, (instort)moffen, brandkleppen, waar nodig voor een geluid, water of branddichte afdichting van de installatie (ook voor niet zelf geboorde sparingen);</t>
  </si>
  <si>
    <t>Het bijwonen van bouwvergaderingen en werkbesprekingen, e.d;</t>
  </si>
  <si>
    <t>Aan chauffeurs worden de bouwplaats- en afroepplaatstekening voor vrachtwagens verstrekt;</t>
  </si>
  <si>
    <t>Parkeren op terrein is mogelijk zover ruimte beschikbaar. Indien de parkeervakken die aangegeven zijn op bouwplaats vol zijn (uitvoerder is hierin bepalend), zal er buiten het terrein geparkeerd moeten worden kosten en verantwoording hiervan liggen bij de opdrachtnemer;</t>
  </si>
  <si>
    <t>Rekening houden met meerdere arbeidsgangen en meerdere bouwstromen tegelijk;</t>
  </si>
  <si>
    <t>De opdrachtnemer wordt geacht met de situatie ter plaatse bekend te zijn;</t>
  </si>
  <si>
    <t>Uitvoering onder normering ‘Bewuste Bouwers’;</t>
  </si>
  <si>
    <t>Het inachtnemen en leveren van de ARBO-veiligheidsvoorzieningen (complete randbeveiliging);</t>
  </si>
  <si>
    <t>Er vindt geen verrekening plaats als gevolg van prijsstijgingen in welke vorm dan ook;</t>
  </si>
  <si>
    <t>De levering en werkzaamheden dienen te voldoen aan alle thans geldende voorschriften;</t>
  </si>
  <si>
    <t>De opdrachtnemer wordt geacht om de materialen te  verwerken conform de verwerkingsvoorschriften (van fabrikant);</t>
  </si>
  <si>
    <t>Indien hout geleverd wordt zal het hout FSC gecertificeerd dienen te zijn;</t>
  </si>
  <si>
    <t>Het is onderaannemer niet toegestaan reclame te maken over dit project ofwel meldingen hierover te verspreiden op Social Media, zonder nadrukkelijke toestemming van Pleijsier Bouw;</t>
  </si>
  <si>
    <t>Opslag op bouwplaats beperkt mogelijk en alleen in overleg met de uitvoerder van Pleijsier (geldt ook voor keten/containers);</t>
  </si>
  <si>
    <t>Eventueel overwerken, doorwerken in vakanties en/of op zaterdag indien noodzakelijk kan niet leiden tot meerwerk.</t>
  </si>
  <si>
    <t>Algemeen;</t>
  </si>
  <si>
    <t>BREEAM;</t>
  </si>
  <si>
    <t>F.</t>
  </si>
  <si>
    <t>Taken / verantwoordelijkheden Pleijsierbouw</t>
  </si>
  <si>
    <t>Schaft- en sanitaire voorzieningen;</t>
  </si>
  <si>
    <t>Beschikbaar stellen afvalcontainer (gebruikte containers worden verrekend);</t>
  </si>
  <si>
    <t>Bouwstroom en/of watervoorziening;</t>
  </si>
  <si>
    <t>Toren-/mobiele kraan.</t>
  </si>
  <si>
    <t>G.</t>
  </si>
  <si>
    <t>BIM:</t>
  </si>
  <si>
    <t>…</t>
  </si>
  <si>
    <t>H.</t>
  </si>
  <si>
    <t>Start: Zie hoofdplanning;</t>
  </si>
  <si>
    <t>Levering tekenwerk (.. weken voor levering definitief gemeente);</t>
  </si>
  <si>
    <t>Doorlooptijd werkzaamheden</t>
  </si>
  <si>
    <t>Montagetijd .. weken.</t>
  </si>
  <si>
    <t>(Prognose)planning</t>
  </si>
  <si>
    <t>I.</t>
  </si>
  <si>
    <t>J.</t>
  </si>
  <si>
    <t>Financieel:</t>
  </si>
  <si>
    <t>Naar ratio leveringen;</t>
  </si>
  <si>
    <t>Betaaltermijn Pleijsier Bouw is 45 dagen na factuurdatum;</t>
  </si>
  <si>
    <t>Conform termijnstaat, nader af te stemmen.</t>
  </si>
  <si>
    <t>Garantie:</t>
  </si>
  <si>
    <t>... Jaar</t>
  </si>
  <si>
    <t>Het aanleveren van complete revisiegegevens, keuringscertificaten, garantierapporten, etc. bij oplevering.</t>
  </si>
  <si>
    <t xml:space="preserve">T O T A A L </t>
  </si>
  <si>
    <t>Verschil begroot</t>
  </si>
  <si>
    <t>Inkoopresultaat</t>
  </si>
  <si>
    <t>Evt. onderaannemer laten werken op eigen aggregaat. Kunsstof vraagt veel stroomverbuik.</t>
  </si>
  <si>
    <t>excl.</t>
  </si>
  <si>
    <t>050 bouwaansluiting</t>
  </si>
  <si>
    <t>050 bouwplaatsinrichting</t>
  </si>
  <si>
    <t>De afsluiting van bouwnutsvoorzieningen kent een even lange procedure als de aanvraag ervan. Een tip vanuit Liander: vraag kort na de aanvraag ook de afsluiting aan. Dan gaat de procedure lopen en kan de stroomkast in ieder geval weg voordat de gemeente begint met straten;</t>
  </si>
  <si>
    <t>100 sloopwerk</t>
  </si>
  <si>
    <t>Check aanwezigheid ondergrondse bouwwerken. (funderingen / heipalen / riolering / nuts);</t>
  </si>
  <si>
    <t>Check van aanwezigheid op asbest;</t>
  </si>
  <si>
    <t>Eventueel trekken van bestaande heipalen of posities inmeten en evt. nieuw palenplan aanpassen;</t>
  </si>
  <si>
    <t>Na sloop egaliseren van terrein;</t>
  </si>
  <si>
    <t>Sloopvergunning (geluidsoverlast en/of belendingen);</t>
  </si>
  <si>
    <t>Stutwerkzaamheden;</t>
  </si>
  <si>
    <t>Vooraf afsluiten nutsvoorzieningen.</t>
  </si>
  <si>
    <t>110 maatvoering</t>
  </si>
  <si>
    <t>Grote projecten in eigen beheer maatvoeren. Offerte opvragen in voortraject bij grote projecten;</t>
  </si>
  <si>
    <t>Mousepunten opnemen bij hoge gebouwen, incl. sparingen in vloeren.</t>
  </si>
  <si>
    <t>120 grondwerk</t>
  </si>
  <si>
    <t>Bij lege bouwkavel check vegatatie. Riet duidt bijvoorbeeld op hoge grondwaterstand = grote kans op bronbemaling;</t>
  </si>
  <si>
    <t>Gesloten balans bijna niet mogelijk bij een klein terrein. Opslagruimte voor uitkomende grond bezien;</t>
  </si>
  <si>
    <t>Bij aansluiting HWA groot dakoppervlak rekening houden met max. diameter gemeenteriool;</t>
  </si>
  <si>
    <t>Hoogte infra bepalen i.o.m. gemeente / opdrachtgever / nuts;</t>
  </si>
  <si>
    <t>Hoogtes aansluiting op gemeenteriool checken (vergunning/nutseisen / BOB maat);</t>
  </si>
  <si>
    <t>HWA/VWA in Amsterdam op BOB (binnenkant, onderkant, buis)maat van 500- maaiveld;</t>
  </si>
  <si>
    <t>Revisietekening laten maken en in laten meten (voor nazorg / vervolgtraject);</t>
  </si>
  <si>
    <t>Hoogte straatwerk te bepalen door gemeente/opdrachtgever;</t>
  </si>
  <si>
    <t>130 bronbemaling</t>
  </si>
  <si>
    <t>Grondwaterstand checken voor start bouw;</t>
  </si>
  <si>
    <t>In voortraject grondwateronderzoek uitvoeren;</t>
  </si>
  <si>
    <t>Zorgen voor voldoende vermogen van bouwstroom of aparte stroomvoorziening.</t>
  </si>
  <si>
    <t>200 heiwerk</t>
  </si>
  <si>
    <t>Bij bouwkuip: heiwerk / koppensnellen / damwanden / stempelframe door 1 partij;</t>
  </si>
  <si>
    <t>Informeren van buurtbewoners voor start heiwerk;</t>
  </si>
  <si>
    <t>Opname belendende bebouwing van toepassing voor start heiwerk?;</t>
  </si>
  <si>
    <t>Post opnemen voor aanvullingen in fundering/rekenwerk constructeur door paalmisstanden;</t>
  </si>
  <si>
    <t>Toezicht op afstorthoogte boorpalen;</t>
  </si>
  <si>
    <t>Trillingsvrij aanbrengen damwanden indien ge-eist d.m.v. drukken (dit is een stuk duurder);</t>
  </si>
  <si>
    <t>210 betonwerk</t>
  </si>
  <si>
    <r>
      <rPr>
        <i/>
        <sz val="8"/>
        <color theme="1"/>
        <rFont val="Calibri"/>
        <family val="2"/>
        <scheme val="minor"/>
      </rPr>
      <t>Betonwerk:</t>
    </r>
    <r>
      <rPr>
        <sz val="8"/>
        <color theme="1"/>
        <rFont val="Calibri"/>
        <family val="2"/>
        <scheme val="minor"/>
      </rPr>
      <t xml:space="preserve"> Spramexen bij hoge wapeningsdichtheid;</t>
    </r>
  </si>
  <si>
    <r>
      <rPr>
        <i/>
        <sz val="8"/>
        <color theme="1"/>
        <rFont val="Calibri"/>
        <family val="2"/>
        <scheme val="minor"/>
      </rPr>
      <t>Betonwerk:</t>
    </r>
    <r>
      <rPr>
        <sz val="8"/>
        <color theme="1"/>
        <rFont val="Calibri"/>
        <family val="2"/>
        <scheme val="minor"/>
      </rPr>
      <t xml:space="preserve"> Waterdichtheid kelders/putten garanderen door betonwerker;</t>
    </r>
  </si>
  <si>
    <r>
      <rPr>
        <i/>
        <sz val="8"/>
        <color theme="1"/>
        <rFont val="Calibri"/>
        <family val="2"/>
        <scheme val="minor"/>
      </rPr>
      <t>Fundering:</t>
    </r>
    <r>
      <rPr>
        <sz val="8"/>
        <color theme="1"/>
        <rFont val="Calibri"/>
        <family val="2"/>
        <scheme val="minor"/>
      </rPr>
      <t xml:space="preserve"> Mantelbuizen / doorvoeren stellen door betonwerker gezien installateur soms nog niet aanwezig is;</t>
    </r>
  </si>
  <si>
    <r>
      <rPr>
        <i/>
        <sz val="8"/>
        <color theme="1"/>
        <rFont val="Calibri"/>
        <family val="2"/>
        <scheme val="minor"/>
      </rPr>
      <t>Fundering:</t>
    </r>
    <r>
      <rPr>
        <sz val="8"/>
        <color theme="1"/>
        <rFont val="Calibri"/>
        <family val="2"/>
        <scheme val="minor"/>
      </rPr>
      <t xml:space="preserve"> Houd met de fundering rekening met de BOB-maat van Waternet (Binnenkant-Onderkant-Buis op 500 minus maaiveld). De fundering dieper leggen voorkomt vervelende mantelbuizen in de funderingsbalk. Deze komen dan in de balkopstort;</t>
    </r>
  </si>
  <si>
    <r>
      <rPr>
        <i/>
        <sz val="8"/>
        <color theme="1"/>
        <rFont val="Calibri"/>
        <family val="2"/>
        <scheme val="minor"/>
      </rPr>
      <t xml:space="preserve">Bedrijfsvloer: </t>
    </r>
    <r>
      <rPr>
        <sz val="8"/>
        <color theme="1"/>
        <rFont val="Calibri"/>
        <family val="2"/>
        <scheme val="minor"/>
      </rPr>
      <t>Bepaling van vlakheidklasse vloeren en wanden en opnemen in garantie-afspraken;</t>
    </r>
  </si>
  <si>
    <r>
      <rPr>
        <i/>
        <sz val="8"/>
        <color theme="1"/>
        <rFont val="Calibri"/>
        <family val="2"/>
        <scheme val="minor"/>
      </rPr>
      <t xml:space="preserve">Bedrijfsvloer: </t>
    </r>
    <r>
      <rPr>
        <sz val="8"/>
        <color theme="1"/>
        <rFont val="Calibri"/>
        <family val="2"/>
        <scheme val="minor"/>
      </rPr>
      <t>Betonnen werkvloer in kelder-/putvloeren (t.b.v. waterdichtheid) en bij zware poeren (i.v.m. onderdekking);</t>
    </r>
  </si>
  <si>
    <r>
      <rPr>
        <i/>
        <sz val="8"/>
        <color theme="1"/>
        <rFont val="Calibri"/>
        <family val="2"/>
        <scheme val="minor"/>
      </rPr>
      <t xml:space="preserve">Bedrijfsvloer: </t>
    </r>
    <r>
      <rPr>
        <sz val="8"/>
        <color theme="1"/>
        <rFont val="Calibri"/>
        <family val="2"/>
        <scheme val="minor"/>
      </rPr>
      <t>Bij vloeistofdichte vloer PBV verklaring rekenen en kitwerk opnemen;</t>
    </r>
  </si>
  <si>
    <r>
      <rPr>
        <i/>
        <sz val="8"/>
        <color theme="1"/>
        <rFont val="Calibri"/>
        <family val="2"/>
        <scheme val="minor"/>
      </rPr>
      <t xml:space="preserve">Bedrijfsvloer: </t>
    </r>
    <r>
      <rPr>
        <sz val="8"/>
        <color theme="1"/>
        <rFont val="Calibri"/>
        <family val="2"/>
        <scheme val="minor"/>
      </rPr>
      <t>Evt. betonwerker laten werken op eigen aggregaat en verlichting (bij grote vloeren);</t>
    </r>
  </si>
  <si>
    <r>
      <rPr>
        <i/>
        <sz val="8"/>
        <color theme="1"/>
        <rFont val="Calibri"/>
        <family val="2"/>
        <scheme val="minor"/>
      </rPr>
      <t xml:space="preserve">Bedrijfsvloer: </t>
    </r>
    <r>
      <rPr>
        <sz val="8"/>
        <color theme="1"/>
        <rFont val="Calibri"/>
        <family val="2"/>
        <scheme val="minor"/>
      </rPr>
      <t>Gevels altijd wind-/waterdicht bij storten beton in winter;</t>
    </r>
  </si>
  <si>
    <r>
      <rPr>
        <i/>
        <sz val="8"/>
        <color theme="1"/>
        <rFont val="Calibri"/>
        <family val="2"/>
        <scheme val="minor"/>
      </rPr>
      <t xml:space="preserve">Bedrijfsvloer: </t>
    </r>
    <r>
      <rPr>
        <sz val="8"/>
        <color theme="1"/>
        <rFont val="Calibri"/>
        <family val="2"/>
        <scheme val="minor"/>
      </rPr>
      <t>Toezicht op afwerking bedrijfsvloer volgens gestelde norm;</t>
    </r>
  </si>
  <si>
    <r>
      <rPr>
        <i/>
        <sz val="8"/>
        <color theme="1"/>
        <rFont val="Calibri"/>
        <family val="2"/>
        <scheme val="minor"/>
      </rPr>
      <t xml:space="preserve">Betonwanden/betoncasco: </t>
    </r>
    <r>
      <rPr>
        <sz val="8"/>
        <color theme="1"/>
        <rFont val="Calibri"/>
        <family val="2"/>
        <scheme val="minor"/>
      </rPr>
      <t>Bescherming en leuningwerk in trappenhuizen door cascobouwer uit te voeren;</t>
    </r>
  </si>
  <si>
    <r>
      <t xml:space="preserve">Betonwanden/betoncasco: </t>
    </r>
    <r>
      <rPr>
        <sz val="8"/>
        <color theme="1"/>
        <rFont val="Calibri"/>
        <family val="2"/>
        <scheme val="minor"/>
      </rPr>
      <t>Bij afbreken torenkraan vloersparingen (t.p.v. kraan) dichtleggen/afstorten door cascobouwer (met kraan van kraanleverancier)</t>
    </r>
    <r>
      <rPr>
        <i/>
        <sz val="8"/>
        <color theme="1"/>
        <rFont val="Calibri"/>
        <family val="2"/>
        <scheme val="minor"/>
      </rPr>
      <t>;</t>
    </r>
  </si>
  <si>
    <r>
      <t xml:space="preserve">Betonwanden/betoncasco: </t>
    </r>
    <r>
      <rPr>
        <sz val="8"/>
        <color theme="1"/>
        <rFont val="Calibri"/>
        <family val="2"/>
        <scheme val="minor"/>
      </rPr>
      <t>Bij HSB in gevels de sponningen in wand- en vloerranden opnemen t.b.v. montage-gemak. Tevens voorkomt dit aftimmerwerk rondom;</t>
    </r>
  </si>
  <si>
    <r>
      <t xml:space="preserve">Betonwanden/betoncasco: </t>
    </r>
    <r>
      <rPr>
        <sz val="8"/>
        <color theme="1"/>
        <rFont val="Calibri"/>
        <family val="2"/>
        <scheme val="minor"/>
      </rPr>
      <t>Bij HSB in gevels demaxen in vloeren en of wanden opnemen;</t>
    </r>
  </si>
  <si>
    <r>
      <t xml:space="preserve">Betonwanden/betoncasco: </t>
    </r>
    <r>
      <rPr>
        <sz val="8"/>
        <color theme="1"/>
        <rFont val="Calibri"/>
        <family val="2"/>
        <scheme val="minor"/>
      </rPr>
      <t>Bij schade aan prefab door montage: aanheling en bijwerken door cascobouwer;</t>
    </r>
  </si>
  <si>
    <r>
      <t xml:space="preserve">Betonwanden/betoncasco: </t>
    </r>
    <r>
      <rPr>
        <sz val="8"/>
        <color theme="1"/>
        <rFont val="Calibri"/>
        <family val="2"/>
        <scheme val="minor"/>
      </rPr>
      <t>Cascobouwer gains/schoordemu's e.d. laten aanvullen/afwerken;</t>
    </r>
  </si>
  <si>
    <r>
      <t xml:space="preserve">Betonwanden/betoncasco: </t>
    </r>
    <r>
      <rPr>
        <sz val="8"/>
        <color theme="1"/>
        <rFont val="Calibri"/>
        <family val="2"/>
        <scheme val="minor"/>
      </rPr>
      <t>Cascobouwer naden prefab beton laten afdichten (ook brandwerende);</t>
    </r>
  </si>
  <si>
    <r>
      <t xml:space="preserve">Betonwanden/betoncasco: </t>
    </r>
    <r>
      <rPr>
        <sz val="8"/>
        <color theme="1"/>
        <rFont val="Calibri"/>
        <family val="2"/>
        <scheme val="minor"/>
      </rPr>
      <t>Ondersabelen of ondergieten van alle prefab elementen door cascobouwer;</t>
    </r>
  </si>
  <si>
    <r>
      <t xml:space="preserve">Betonwanden/betoncasco: </t>
    </r>
    <r>
      <rPr>
        <sz val="8"/>
        <color theme="1"/>
        <rFont val="Calibri"/>
        <family val="2"/>
        <scheme val="minor"/>
      </rPr>
      <t>Planning vaststellen met cascobouwer op basis van aanwezige torenkraan. Versnellen middels extra pomp of kraan te bespreken;</t>
    </r>
  </si>
  <si>
    <r>
      <t xml:space="preserve">Betonwanden/betoncasco: </t>
    </r>
    <r>
      <rPr>
        <sz val="8"/>
        <color theme="1"/>
        <rFont val="Calibri"/>
        <family val="2"/>
        <scheme val="minor"/>
      </rPr>
      <t>Rekening houden met gesteldheid terrein/onderstempeling mobiele kraan. Vooral bij zware draad-/rupskranen;</t>
    </r>
  </si>
  <si>
    <r>
      <t xml:space="preserve">Betonwanden/betoncasco: </t>
    </r>
    <r>
      <rPr>
        <sz val="8"/>
        <color theme="1"/>
        <rFont val="Calibri"/>
        <family val="2"/>
        <scheme val="minor"/>
      </rPr>
      <t>Bij appartementen de MV sparingen altijd opnemen met MV mof (niet met EPS, dit geeft veel rommel);</t>
    </r>
  </si>
  <si>
    <r>
      <t xml:space="preserve">Betonwanden/betoncasco: </t>
    </r>
    <r>
      <rPr>
        <sz val="8"/>
        <color theme="1"/>
        <rFont val="Calibri"/>
        <family val="2"/>
        <scheme val="minor"/>
      </rPr>
      <t>Bij appartementen de EPS sparingen in breedplaatvloer laten verwijderen en opruimen door cascobouwer of breedplaatleverancier;</t>
    </r>
  </si>
  <si>
    <r>
      <t xml:space="preserve">Betonwanden/betoncasco: </t>
    </r>
    <r>
      <rPr>
        <sz val="8"/>
        <color theme="1"/>
        <rFont val="Calibri"/>
        <family val="2"/>
        <scheme val="minor"/>
      </rPr>
      <t>Bij de inkoop van betonwerk moeten goede afspraken worden gemaakt over de kwaliteit van de betonwand in relatie tot de afwerkingsklasse van het stucwerk (denk hierbij aan de eisen van de bekisting);</t>
    </r>
  </si>
  <si>
    <r>
      <t xml:space="preserve">Druklagen: </t>
    </r>
    <r>
      <rPr>
        <sz val="8"/>
        <color theme="1"/>
        <rFont val="Calibri"/>
        <family val="2"/>
        <scheme val="minor"/>
      </rPr>
      <t>Keuze -&gt; monolith afgewerkte druklaag of ruwe druklaag met dekvloer;</t>
    </r>
  </si>
  <si>
    <r>
      <t xml:space="preserve">Laadkuil: </t>
    </r>
    <r>
      <rPr>
        <sz val="8"/>
        <color theme="1"/>
        <rFont val="Calibri"/>
        <family val="2"/>
        <scheme val="minor"/>
      </rPr>
      <t>Voldoet ontwerp laadkuil aan de normen. Zit boven laadkuil nog een gevel?</t>
    </r>
  </si>
  <si>
    <r>
      <t xml:space="preserve">Betonskelet bovenbouw: </t>
    </r>
    <r>
      <rPr>
        <sz val="8"/>
        <color theme="1"/>
        <rFont val="Calibri"/>
        <family val="2"/>
        <scheme val="minor"/>
      </rPr>
      <t>Tunnelinzet beperken tot 3 tunnels; inzet 4 tunnels is te veel en gaat ten koste van kwaliteit</t>
    </r>
  </si>
  <si>
    <r>
      <t xml:space="preserve">Betonskelet bovenbouw: </t>
    </r>
    <r>
      <rPr>
        <sz val="8"/>
        <color theme="1"/>
        <rFont val="Calibri"/>
        <family val="2"/>
        <scheme val="minor"/>
      </rPr>
      <t>Tijdens storten van de vloeren, leidingdoorvoeren zo veel mogelijk dichtstorten. Eventueel bezien of het mogelijk is om bijv. mantels in te laten storten die ca. 10 cm boven de vloer uitsteken</t>
    </r>
  </si>
  <si>
    <t>Toepassen vezelcementkokers voor ronde sparingen (instorten). Plaatsen en (br.w.) afwerken is eenvoudig</t>
  </si>
  <si>
    <t>220 metselwerk binnendeuren</t>
  </si>
  <si>
    <t>220 metselwerk buitendeuren</t>
  </si>
  <si>
    <t>Bijwerken steigergaten bij demontage steiger afspreken met metselaar;</t>
  </si>
  <si>
    <t>Steenstrips op isolatie aan gevel. Kies voor systeem van baksteenleverancier en niet voor systeem van gevelisolatieleverancier;</t>
  </si>
  <si>
    <t>Steenstrips op isolatie aan gevel. Let op dikte steenstrips en dus het gewicht (max. 40 kg/m2) is incl. voeg en vochtpercentage);</t>
  </si>
  <si>
    <t>Vers voeg- en metselwerk zoveel mogelijk beschermen tegen water;</t>
  </si>
  <si>
    <t>Steenkeuze (spreidmaten T1, T2, Tm) is belangrijk bij maatvoering van kleine muurdammen i.c.m. koppenmaat 110 mm. Brede voegen.</t>
  </si>
  <si>
    <t>Het vervangen van lood door vervanger van Comprifalt (polyester) vereenvoudigd het werk en is niet kostenverhogend.</t>
  </si>
  <si>
    <t>Bij repeterend werk met schraagsteigers kan gedacht worden aan een herbruikbare 'tafel' wat tijd scheelt.</t>
  </si>
  <si>
    <t>230 prefab beton gevelelementen</t>
  </si>
  <si>
    <t>Afdichting verticale naden (check brandwerendheid) (bij voorkeur door cascobouwer);</t>
  </si>
  <si>
    <t>Koppelwapening bij voorkeur stekwapening, bij demu en stekankers: door cascobouwer in laten draaien;</t>
  </si>
  <si>
    <t>Voor (beton)gevels altijd RVS bevestigingen in de spouw voor werken in regio Amsterdam. Ook instortvoorzieningen in de prefab beton. Staalconstructies in de spouw thermisch verzinkt en behandeld.</t>
  </si>
  <si>
    <t xml:space="preserve">230 trappen bordessen galerijen </t>
  </si>
  <si>
    <t>Afschot in plaat bespreken en wel/geen afschot in goot (niet standaard);</t>
  </si>
  <si>
    <t>HWA als standleidingsdoorvoer of ingestorte leidingen met uitloop;</t>
  </si>
  <si>
    <t>Koudebrugonderbreking (isolatie) in deel naast isokorf meenemen;</t>
  </si>
  <si>
    <t>RVS/verzinkte instortvoorzieningen in buitenwerk;</t>
  </si>
  <si>
    <t>Het is mogelijk dat er prefab trapbekleding wordt besteld. Dit scheelt op de bouw veel tijd omdat niet alles op maat gezaagd hoeft te worden (partij die dit bijvoorbeeld doet: Peter Smit Houtconstructies). Bij betoncasco’s (woningbouw/hotels) kan door prefab aan te laten voeren alleen bij plaatsing door betonbouwer.</t>
  </si>
  <si>
    <t>230 verdiepingsvloeren</t>
  </si>
  <si>
    <t>Onderstempeling stalen randliggers om torderen te voorkomen tijdens het leggen van vloeren;</t>
  </si>
  <si>
    <t>Er mag geen kanaalplaat worden toegepast boven een traforuimte (eis Liander!)</t>
  </si>
  <si>
    <t>Het doorleggen van vloerwapening bij vloersparingen als doorvalbeveiliging</t>
  </si>
  <si>
    <t>Rekening houden met ophangen veiligheidsnetten bij leggen kanaalplaten</t>
  </si>
  <si>
    <t>240 brandwerende bekleding</t>
  </si>
  <si>
    <t>Brandwerende afdichting van installaties en nuts door installateur uit te voeren;</t>
  </si>
  <si>
    <t>Let op brandveiligheidseisen kolommen. Coating, betimmeren promatect, kokers vullen met beton;</t>
  </si>
  <si>
    <t>Rekening houden met bekleding schetsplaten/ aangelast staal Effectis geeft aan dat die ook geheel of minimaal over 1 meter moeten worden bekleed.</t>
  </si>
  <si>
    <t>HSB-wanden uitlijnen, voorkomt problemen met gevelbeplating.</t>
  </si>
  <si>
    <t>Steigerloos bouwprincipe van houtskeletbouwwanden is af te raden. Kwaliteit van elementen en verbindingen onderling is door het steigerloos principe in de uitvoering niet meer te controleren.</t>
  </si>
  <si>
    <t>240 profielen stellen</t>
  </si>
  <si>
    <t>Bewerkelijk metselwerk: norm profielen stellen aanpassen.</t>
  </si>
  <si>
    <t>250 staalconstructie</t>
  </si>
  <si>
    <t>Constructeurs passen steeds vaker hogere staalkwaliteiten toe (S235, S275 en S355);</t>
  </si>
  <si>
    <t>Bij de veldkolommen die uitgevoerd worden in kokerprofiel, is het goed om deze te voorzien van een gaatje boven de voetplaat. Zo kan het water weglopen en komen ze niet vol te staan met regenwater. Ook graag nog even de aandacht voor de te boren gaten t.b.v. de stelkozijnen.</t>
  </si>
  <si>
    <t>Op verzoek Pleijsier Bouw, IFC model aanleveren zonder bouten, moeren en lasverbindingen</t>
  </si>
  <si>
    <t>300 aluminium kozijnen</t>
  </si>
  <si>
    <t>Electrische sluitplaten;</t>
  </si>
  <si>
    <t>Bij detaillering aansluitingen, EPDM-folie meenemen op prefab betonwanden;</t>
  </si>
  <si>
    <t>Check eisen EPC-berekening op zonwerend/thermisch glas;</t>
  </si>
  <si>
    <t>Inbraakwerendheidsklasse?</t>
  </si>
  <si>
    <t>Bij toepassing roostergevels (JAZO) deze eerder in bouwproces uitwerken om verstroingen van proces te voorkomen. Ook goed om deze in het werk te laten inmeten en daarna produceren.</t>
  </si>
  <si>
    <t>300 binnendeuren</t>
  </si>
  <si>
    <t>Bij grotere projecten met veel binnendeuren (te denken valt aan appartementen of hotels) is het verstandig om de partij die de binnendeuren en beslag in opdracht heeft, ook het leveren/aanbrengen van de noodcilinders te laten doen. Dit in de fase voordat de definitieve cilinders er in zitten, maar de ruimte wel afsluitbaar dient te zijn. Bij kerntrekbeveiliging moet je deur niet dichtvallen zonder cilinder, want dan krijg je de deur nooit meer open;</t>
  </si>
  <si>
    <t>Duidelijke deurnummering kortsluiten (bij voorkeur door architect op te stellen).</t>
  </si>
  <si>
    <t>Bij toepassing elektrisch beslag dit bij een partij uitbesteden bij de E-installateur (om te voorkomen dat teveel partijen iets moeten doen om het werkend te krijgen)</t>
  </si>
  <si>
    <t>300 houten kozijnen</t>
  </si>
  <si>
    <t>Multiplex van stelkozijnen niet toepassen als afwerking van dagkanten in woningen.</t>
  </si>
  <si>
    <t>300 industriedeuren</t>
  </si>
  <si>
    <t>Docklevellers 'Just In Time' laten leveren, montage door kraanauto is mogelijk;</t>
  </si>
  <si>
    <t>Inkoop: openingen: glas of plastic, goed communiceren ri. opdrachtgever. (Glasdetectiebeveiliging op gebouw?).</t>
  </si>
  <si>
    <t>310 wand en dakplaten</t>
  </si>
  <si>
    <t>Inkoop: bepaling dikte (dun materiaal golft of deukt). (Vooraf advies van leverancier naar opdrachtgever sturen);</t>
  </si>
  <si>
    <t>Nalevering altijd controleren op kleurverschil;</t>
  </si>
  <si>
    <t>320 trappen en balustraden</t>
  </si>
  <si>
    <t>300 stalen kozijnen en nutspuien</t>
  </si>
  <si>
    <t>Inkoop: boorwerk of bevestiging op demu's (laten inmeten)</t>
  </si>
  <si>
    <t>Stalen zetwerk vloerranden vastzetten op vloeren (ook begroten)</t>
  </si>
  <si>
    <t>330 kunststof dakbedekking</t>
  </si>
  <si>
    <t>350 natuursteen</t>
  </si>
  <si>
    <t>n.t.b.</t>
  </si>
  <si>
    <t>360 kitwerk</t>
  </si>
  <si>
    <t>Bij HACCP-norm naden afdichten om vervuiling te voorkomen.</t>
  </si>
  <si>
    <t>380 zonwering</t>
  </si>
  <si>
    <t>Aandrijving: electrisch of handmatig;</t>
  </si>
  <si>
    <t>Voeding door installateur, aansluiten door leverancier.</t>
  </si>
  <si>
    <t>400 stukadoorswerk</t>
  </si>
  <si>
    <t>420 dekvloeren</t>
  </si>
  <si>
    <t>Bij dekvloeren rekening houden met toging kanaalplaat vloeren;</t>
  </si>
  <si>
    <t>Sparingen opnemen in casco t.b.v. slangenwerk voor dek- en gietvloeren. Dit voorkomt slangen voor gevel langs, wat kan leiden tot beschadigingen of vervuiling;</t>
  </si>
  <si>
    <t>Op druklaag kanaalplaatvloeren moet bij bepaalde diktes/brandwerenheid folie worden toegepast (vloer droogt dan slecht).</t>
  </si>
  <si>
    <t>Bij PVC: aandachtspunt is toepassing egaline en de hoeveelheid hiervan</t>
  </si>
  <si>
    <t>Indien vloerafwerkingen, houd rekening met opstookprotocol voor vloerverwarming, kost 2 weken tijd.</t>
  </si>
  <si>
    <t>440 plafond en wandsysteem</t>
  </si>
  <si>
    <t>Wanden die egaal wit gestuct moeten worden, blijkt een lastig verhaal en is beter om als affilmen niet te accepteren. Dit voorkomt discussie over doorschijning etc. In theorie klinkt het mooi, maar de praktijk leert dat egaal wit niet haalbaar is of het moet echt als 10mm stuclaag begroot worden. (inclusief zwaardere stalen kozijnen, 90mm i.p.v. 70mm wand).</t>
  </si>
  <si>
    <t>460 schilderwerk</t>
  </si>
  <si>
    <t>Schilder dient ondergrond te controleren/accepteren voor zijn uitvoering en kleine oneffenheden zelf bij te werken.</t>
  </si>
  <si>
    <t>480 binneninrichitng</t>
  </si>
  <si>
    <t>Bevestigingsmateriaal: in kleur, verdiept, onzichtbaar/blind bevestigt, RVS (spouw/buitenlucht), dopmoeren;</t>
  </si>
  <si>
    <t>Check verzekerde garanties (dakbedekking, gevelsluiting e.d.);</t>
  </si>
  <si>
    <t>Inmeten in het werk (bij specifieke onderdelen);</t>
  </si>
  <si>
    <t>Parkeren buiten de bouw soms van toepassing;</t>
  </si>
  <si>
    <t>Transport (bij kleine leveringen wordt dit nog wel eens uitgesloten);</t>
  </si>
  <si>
    <t>500 installaties</t>
  </si>
  <si>
    <t>In grote gebouwen bouwwater en -stroom door installateur op elke verdiepingsvloer laten meenemen;</t>
  </si>
  <si>
    <t>Inkoop: boor- en freeswerk tbv installaties compleet bij installateur (ongeacht afmeting);</t>
  </si>
  <si>
    <t>Inkoop: brandwerende doorvoeren compleet bij installateur;</t>
  </si>
  <si>
    <t>Er is een (nieuwe) leidraad voor brandweerpanelen. De brandweer komt hier altijd op terug, maar veel installateurs zijn niet op de hoogte van dit document. Het document is te vinden op de PB-portal;</t>
  </si>
  <si>
    <t>Aanleghoogten riolering bepalen i.o.m. gemeente / opdrachtgever / nuts;</t>
  </si>
  <si>
    <t>Bij vriescel rekening houden met (azobé) blokken onder cel i.v.m. isolatie;</t>
  </si>
  <si>
    <t>Mantelbuizen in betoncasco door tot peil of tot bk betonvloer? Naast betonwanden laag, daarbuiten verhogen t.b.v. dekvloer in meterkastvloeren. Optoppen mantelbuis in later stadium inkopen bij installateur;</t>
  </si>
  <si>
    <t>Appartementen: mantelbuizen nuts door installateur incl. brandwerende afwerking;</t>
  </si>
  <si>
    <t>Bij hoogbouw woningebouw de schachten en meterkasten Nuts bezien in brandwerendheid. Bij voorkeur wanden en deuren brandwerend zodat sparingen groter gehouden kunnen worden en niet brandwerend te hoeven worden afgewerkt;</t>
  </si>
  <si>
    <t>Ondersteuning LBK's op dak. Bij voorkeur op stelconplaten, niet op hout onder dakbedekking: dit gaat rotten;</t>
  </si>
  <si>
    <t>Aanhaakpunten in gevel voorzien;</t>
  </si>
  <si>
    <t>Stootbumpers aan bakje benodigd ter voorkoming beschadiging gevel?</t>
  </si>
  <si>
    <t>900 torenkraan</t>
  </si>
  <si>
    <t>Afslijpen van instortankers na demontage kraan (gezien afmetingen ankers);</t>
  </si>
  <si>
    <t>Aparte bouwstroom grootverbruikaansluiting (125 of 250 Amp). (Let op: aparte meterkast uittimmeren);</t>
  </si>
  <si>
    <t>Berekening kraanpoer is vaak aanvulling voor constructeur;</t>
  </si>
  <si>
    <t>Camera, hoogte- en gewichtsmeters, machinistenlift tot bovenin, verlichting;</t>
  </si>
  <si>
    <t>Haakhoogte bepaling! Check hoogste punt gebouw, hoogste wandkist en vergeet kettingen niet!;</t>
  </si>
  <si>
    <t>Hangbak altijd op de bouw aanwezig voor noodgevallen (bijv. iemand hangt in harnas naast de vloer);</t>
  </si>
  <si>
    <t>Instortankers dienen 100% recht te staan. Ondergrond onder fundering stabiliseren. Werkvloer onder kraanpoer afwapenen;</t>
  </si>
  <si>
    <t>Voetpedaal en portofoons door kraanleverancier;</t>
  </si>
  <si>
    <t>Voetpedaal en portofoons te leveren door kraanleverancier;</t>
  </si>
  <si>
    <t>Zwaarste element bepalen. Kubel met beton of prefab betonwand of ….</t>
  </si>
  <si>
    <t>Aanhaakpunten in gevel voorzien.</t>
  </si>
  <si>
    <t>Kolom1</t>
  </si>
  <si>
    <t>Kolom2</t>
  </si>
  <si>
    <t>Kolom3</t>
  </si>
  <si>
    <t>Kolom4</t>
  </si>
  <si>
    <r>
      <t xml:space="preserve">Kennisbank </t>
    </r>
    <r>
      <rPr>
        <sz val="8"/>
        <color theme="1"/>
        <rFont val="Calibri"/>
        <family val="2"/>
        <scheme val="minor"/>
      </rPr>
      <t>(versie 0.1)</t>
    </r>
  </si>
  <si>
    <t>410 tegelwerk</t>
  </si>
  <si>
    <t>Bij HACCP-norm: denk aan stroefheid (voor niet uitglijden) R11 o.i.d., voegen van bepaalde hardheid, holplinten, kitwerk;</t>
  </si>
  <si>
    <t>Let op de productieserie van de tegels. Twee series in één ruimte kan voor kleurverschil zorgen. Altijd nummers op de dozen controleren voor gebruik;</t>
  </si>
  <si>
    <t>Dekvloer door tegelzetter (bij goten en putjes) en deze op afschot aanbrengen;</t>
  </si>
  <si>
    <t>Leveren en aanbrengen onderdorpels door tegelzetter.</t>
  </si>
  <si>
    <t>ALGEMENE (INKOOP)VOORWAARDEN (versie 12-18) van kracht;</t>
  </si>
  <si>
    <t>24.1</t>
  </si>
  <si>
    <t>Uitrol definitieve variant</t>
  </si>
  <si>
    <t>24.2</t>
  </si>
  <si>
    <t>Aanvullen van kennisbank alle onderdelen</t>
  </si>
  <si>
    <t>Opzet prijsvergelijk</t>
  </si>
  <si>
    <t>2023-07-17</t>
  </si>
  <si>
    <t>2024-03-11</t>
  </si>
  <si>
    <t>2024-07-03</t>
  </si>
  <si>
    <t>U I T T R E K S T A A T</t>
  </si>
  <si>
    <t>project</t>
  </si>
  <si>
    <t>projectnr.</t>
  </si>
  <si>
    <t>opgesteld</t>
  </si>
  <si>
    <t>Omschrijving</t>
  </si>
  <si>
    <t>Lengte</t>
  </si>
  <si>
    <t>Breedte</t>
  </si>
  <si>
    <t>Hoogte</t>
  </si>
  <si>
    <t>Aantal</t>
  </si>
  <si>
    <t>Oppervlak</t>
  </si>
  <si>
    <t>[m1]</t>
  </si>
  <si>
    <t>[m2]</t>
  </si>
  <si>
    <t>[m3]</t>
  </si>
  <si>
    <t>Volume</t>
  </si>
  <si>
    <t>hvhd</t>
  </si>
  <si>
    <t>ehd</t>
  </si>
  <si>
    <t>prijs/ehd</t>
  </si>
  <si>
    <t>&lt;hier typen&gt;</t>
  </si>
  <si>
    <t>zie tabblad kennisbank &lt;punten hier plakken&gt;</t>
  </si>
  <si>
    <t>incl.</t>
  </si>
  <si>
    <t>Leveren en/of monteren van onderstaande onderdelen:</t>
  </si>
  <si>
    <t>I N K O O P R E S U L T A A T   O F F E R T E S</t>
  </si>
  <si>
    <t>T O T A A L   B E G R O T I N G</t>
  </si>
  <si>
    <t>voorbeeld</t>
  </si>
  <si>
    <t>Km registratie leveringen bouwplaats (vrachten), zie Prostream 'invulformulier km-registratie'.</t>
  </si>
  <si>
    <t>Offerte wordt van de hand verwezen, alle afspraken staan in de genoemde stukken of in deze excellijst;</t>
  </si>
  <si>
    <t>De projectdocumenten worden gedeeld met Prostream, de opdrachtnemer dient zijn documenten hier te delen conform protocol;</t>
  </si>
  <si>
    <t>Er wordt gewerkt met Prostream, de opdrachtnemer dient hier zich aan te confirmeren en mee te werken;</t>
  </si>
  <si>
    <t>Aan te leveren tekeningen en berekeningen opslaan op Prostream conform bijbehorende protocol;</t>
  </si>
  <si>
    <t>Geluidseisen, brandeisen conform tekeningen en rapportages adviseur(s), aantoonbaar middels het verzorgen en overhandigen van alle benodigde certificaten en attesten;</t>
  </si>
  <si>
    <t>Opgave hoofdmaatvoering (enkel stramienen en hoogte-aanduiding);</t>
  </si>
  <si>
    <t>Conform Technische Omschrijving</t>
  </si>
  <si>
    <t>Het maken van alle benodigde berekeningen en tekeningen ter goedkeuring en definitief. 
Tekenwerk in 3D, model in native format en IFC aanleveren;</t>
  </si>
  <si>
    <t>Het maken van alle benodigde berekeningen en tekeningen ter goedkeuring en definitief. 
Tekenwerk in 2D per blad in PDF en DWG;</t>
  </si>
  <si>
    <t>Leveren en aanbrengen van alle sparingen, boor- en freeswerk (tot en met diameter 80mm) en mantelbuizen t.b.v. installatie, nutsaansluitingen, inclusief benodigde malplaten en de maatvoering/stellen van deze onderdelen;</t>
  </si>
  <si>
    <t>Opruimen (dagelijks) en afvoeren van eigen afvalmateriaal, indien gebruik wordt gemaakt van containers Pleijsier Bouw worden deze verrekend à €500,00 p/container;</t>
  </si>
  <si>
    <t>Afwijkingen in de aantallen, afmetingen en hoeveelheden worden, bij ongewijzigde stukken, niet verrekend en zijn dus voor rekening en risico van de opdrachtnemer;</t>
  </si>
  <si>
    <t>Vast aanspreekpunt (Nederlands sprekend) op bouw (contactpersoon voor uitvoerder van Pleijsier Bouw);</t>
  </si>
  <si>
    <t>Het leveren van alle materialen onder KOMO-attest met productcertificaat en aantoonbare herkomst;</t>
  </si>
  <si>
    <t>Calculatiecode</t>
  </si>
  <si>
    <t>S</t>
  </si>
  <si>
    <t>Hoeveel</t>
  </si>
  <si>
    <t>Ehd</t>
  </si>
  <si>
    <t>Norm</t>
  </si>
  <si>
    <t>Uren</t>
  </si>
  <si>
    <t>Arbeid</t>
  </si>
  <si>
    <t>T</t>
  </si>
  <si>
    <t>Materiaal</t>
  </si>
  <si>
    <t>Tot. materiaal</t>
  </si>
  <si>
    <t>Onderaann.</t>
  </si>
  <si>
    <t>Tot. OA</t>
  </si>
  <si>
    <t>Materieel</t>
  </si>
  <si>
    <t>Tot. Materieel</t>
  </si>
  <si>
    <t>Prijs/ehd</t>
  </si>
  <si>
    <t>TOTAAL</t>
  </si>
  <si>
    <t>0</t>
  </si>
  <si>
    <t>1</t>
  </si>
  <si>
    <t>0A</t>
  </si>
  <si>
    <t>2</t>
  </si>
  <si>
    <t>0A01</t>
  </si>
  <si>
    <t>3</t>
  </si>
  <si>
    <t>0A011</t>
  </si>
  <si>
    <t>4</t>
  </si>
  <si>
    <t>Offertedatum:</t>
  </si>
  <si>
    <t>Telefoon:</t>
  </si>
  <si>
    <t>Projectnummer:</t>
  </si>
  <si>
    <t>K.</t>
  </si>
  <si>
    <t>Opties;</t>
  </si>
  <si>
    <t>2024-07-16</t>
  </si>
  <si>
    <t>24.3</t>
  </si>
  <si>
    <t>Opmaak gewijzigd</t>
  </si>
  <si>
    <t>Ingekocht bij:</t>
  </si>
  <si>
    <t>Stagnatiekosten (bijv. boetes), kortingen e.d., door het niet nakomen van de overeengekomen planning, zullen met de onderaannemer/leverancier verrekend worden.</t>
  </si>
  <si>
    <t>24.4</t>
  </si>
  <si>
    <t>2024-10-03</t>
  </si>
  <si>
    <t>BIM-voorwaarden toegevoegd</t>
  </si>
  <si>
    <t>Modelleerrichtlijn conform BIM bais ILS v2.0</t>
  </si>
  <si>
    <t>Minimale eigenschappen IFC-model conform document zoals beschreven onder G.3</t>
  </si>
  <si>
    <t>Optioneel: modellen nevenaannemers aanleveren in IFC</t>
  </si>
  <si>
    <t>'01_staalconstructies_propertysets IFC'</t>
  </si>
  <si>
    <t>'02_stalensandwichgevel en dak_propertysets IFC'</t>
  </si>
  <si>
    <t>'03_beton en prefab elementen_propertysets IFC'</t>
  </si>
  <si>
    <t>'04_houtconstructies_propertysets IFC'</t>
  </si>
  <si>
    <t>'05_vliesgevels en kozijnen_propertysets IFC'</t>
  </si>
  <si>
    <t>'06_natuursteen_propertysets IFC'</t>
  </si>
  <si>
    <t>BIM-documenten (t.b.v. dropdownmenu G.3)</t>
  </si>
  <si>
    <t>Maak een keuze:</t>
  </si>
  <si>
    <t>24.5</t>
  </si>
  <si>
    <t>optie</t>
  </si>
  <si>
    <t>2024-10-24</t>
  </si>
  <si>
    <t>optie toegevoegd, nummering gewijzgd bij doortellen, tabelvorm verwijderd, zodat regels kopiëren en invoegen goed werkt</t>
  </si>
  <si>
    <t>Onderbouwing:</t>
  </si>
  <si>
    <t>Clusters</t>
  </si>
  <si>
    <t>Elementclusters</t>
  </si>
  <si>
    <t>Elementen</t>
  </si>
  <si>
    <t>Subverdeling</t>
  </si>
  <si>
    <t>Stelpost</t>
  </si>
  <si>
    <t>&lt;hier plakken&gt;</t>
  </si>
  <si>
    <t>Waar 'inclusief' staat, is het bedrag opgenomen in de totaalsom of is het goedgekeurd door de opdrachtnemer.</t>
  </si>
  <si>
    <t>DUURZAAMHEID / BREEAM;</t>
  </si>
  <si>
    <t>Welke duurzamere opties zijn er (en wat kost dit meer- en of minder)</t>
  </si>
  <si>
    <t>Wat doet jullie bedrijf aan duurzaamheidsambities</t>
  </si>
  <si>
    <t>Wat voor besparing hebben deze opties t.o.v. (in -/-Kg CO2-eq/eenheid)</t>
  </si>
  <si>
    <r>
      <t xml:space="preserve">Nazien welke credits voor dit project van toepassing zijn </t>
    </r>
    <r>
      <rPr>
        <sz val="8"/>
        <color rgb="FFFF0000"/>
        <rFont val="Arial"/>
        <family val="2"/>
      </rPr>
      <t>(BREEAM);</t>
    </r>
  </si>
  <si>
    <r>
      <t xml:space="preserve">Nazien welke credits voor dit onderdeel van toepassing zijn </t>
    </r>
    <r>
      <rPr>
        <sz val="8"/>
        <color rgb="FFFF0000"/>
        <rFont val="Arial"/>
        <family val="2"/>
      </rPr>
      <t>(BREEAM);</t>
    </r>
  </si>
  <si>
    <r>
      <t xml:space="preserve">Km registratie leveringen bouwplaats (vrachten), zie Prostream 'invulformulier km-registratie' </t>
    </r>
    <r>
      <rPr>
        <sz val="8"/>
        <color rgb="FFFF0000"/>
        <rFont val="Arial"/>
        <family val="2"/>
      </rPr>
      <t>(BREEAM);</t>
    </r>
  </si>
  <si>
    <t>Wat kunnen wij voor dit werk en of voor toekomstwerken van elkaar leren wat betreft duurzaamheid (projectbasis maar ook bedrijfsgerelateerd)</t>
  </si>
  <si>
    <t>De opdrachtnemer wordt geacht om een gespecificeerde open begroting aan te reiken</t>
  </si>
  <si>
    <t>De opdrachtnemer wordt geacht om aan te geven welke op- en toeslagen gerekend worden, ook voor meer-minderwerk t.o.v. de open begroting</t>
  </si>
  <si>
    <t>Bespreekpunt: wat is volgens opdrachtnemer 'key' voor een goede samenwerking met Pleijsier Bouw</t>
  </si>
  <si>
    <t>Er wordt gewerkt met Prostream en Snagstream, de opdrachtnemer dient hier zich aan te conformeren en mee te werken;</t>
  </si>
  <si>
    <t>Hoe gaan jullie om met afvalreductie / retour restproduct?</t>
  </si>
  <si>
    <t>Kooiladders moeten voldoen aan de NEN-EN-ISO 14122-4; laddersporten moeten daardoor vlak beloopbaar zijn met ≥20 mm breedte incl. antislip</t>
  </si>
  <si>
    <t xml:space="preserve">Bij productie van randkisten (op tunnels) een verjonging in de kist meenemen zodat er na de stort een PVC-slabbe in geplakt kan worden. </t>
  </si>
  <si>
    <t xml:space="preserve">Klaphekken t.b.v. uitrijden tunnel net zo groot als de breedte van de tunnel zelf. Te breed is veel extra randbeveiliging maken.  </t>
  </si>
  <si>
    <t>Inkassingen in casco voor douchegoten niet groter maken dan nodig is!</t>
  </si>
  <si>
    <t xml:space="preserve">Losse rekwerken rondom bijv.vliesgevels max 3 meter lang. Langer dan 3 meter is het hout te krom om goed te kunnen stellen. </t>
  </si>
  <si>
    <t>Stelruimte ter plaatse van onderankers groot genoeg houden bij veel toog in betoncasco.</t>
  </si>
  <si>
    <t xml:space="preserve">Let op hoogtes van elementen bij borstweringloze kozijnen. Onderdorpel stelkozijn HSB en dekvloer moet gelijk zijn. Bij voorkeur borstwering engineeren. </t>
  </si>
  <si>
    <t>Luchtdichting binnenzijde. Onderkant pur+liquid rubber. Zijkant pur+siga fentrim tape. Geen coating/liquid rubber op te stukadoren onderdelen.</t>
  </si>
  <si>
    <t>240 houtskeletbouwwanden</t>
  </si>
  <si>
    <t>Fabrieksmatig af laten plakken van aluminium kozijnen die ingebouwd worden in HSB-fabriek om betonlekschade te voorkomen.</t>
  </si>
  <si>
    <t xml:space="preserve">Gepoedercoat aluminium minder schadegevoelig dan blank geanodiseerd. Removable tape hecht slecht en betonlekwater vreet gelijk in de lak. </t>
  </si>
  <si>
    <t xml:space="preserve">Voor hoogbouw: dagkantstukken die op de bouw gemonteerd worden per verdieping pakketteren en bevoorraden tijdens ruwbouw. </t>
  </si>
  <si>
    <t xml:space="preserve"> Uitvullen van grote cascotoleranties middels gips tussen beton en HSB. </t>
  </si>
  <si>
    <t xml:space="preserve">Witte houten plaat achter vloerverwarmingsverdeler meenemen. Achter de verdeler valt niet goed te stuccen. </t>
  </si>
  <si>
    <t xml:space="preserve">Let op toleranties. Tunnels worden gesteld vanaf maatvoering een verdieping lager. HSB stelleur haalt zijn maatvoering van de verdieping waar de elementen ook komen te staan. </t>
  </si>
  <si>
    <t>Dichte (langs)wanden ook voorzien van maatvoering aan buitenzijde tunnel om HSB te kunnen stellen</t>
  </si>
  <si>
    <t>Meterpeilen tbv afbouw meenemen in elke woning, of later zelf doorhalen vanaf centrale meterpeil</t>
  </si>
  <si>
    <t xml:space="preserve">Positie grondslag van steiger belangrijk i.v.m. steeds veranderende afstand tussen steiger en gebouw. </t>
  </si>
  <si>
    <t xml:space="preserve">Oprit/hellingbaan per verdieping maken op steiger om vanuit bouwlift op de vloer te kunnen komen. </t>
  </si>
  <si>
    <t>Hoogbouw: T.b.v. vroege start afbouw op een bepaalde verdieping sparingen en aansluiting van vloer op HSB-gevel in de bitumen zetten. Bitumen niet plakken op delen die zichtwerk blijven!</t>
  </si>
  <si>
    <t xml:space="preserve">Afzetting maken bij natte ruimtes voor aanbrengen anhydrietvloer omdat natte ruimtes (vaak) later in zandcement worden uitgevoerd. </t>
  </si>
  <si>
    <t>De randisolatie van de anhydrietvloer doorzetten onder de voordeur om contactgeluid vanuit de gang/lifthal naar de woning te voorkomen.</t>
  </si>
  <si>
    <r>
      <rPr>
        <i/>
        <sz val="8"/>
        <color theme="1"/>
        <rFont val="Calibri"/>
        <family val="2"/>
        <scheme val="minor"/>
      </rPr>
      <t>Betonwanden/betoncasco:</t>
    </r>
    <r>
      <rPr>
        <sz val="8"/>
        <color theme="1"/>
        <rFont val="Calibri"/>
        <family val="2"/>
        <scheme val="minor"/>
      </rPr>
      <t xml:space="preserve"> In plaats van EPS zagen, gebruik een piepschuim snijder</t>
    </r>
  </si>
  <si>
    <r>
      <t xml:space="preserve">Fundering: </t>
    </r>
    <r>
      <rPr>
        <sz val="8"/>
        <color theme="1"/>
        <rFont val="Calibri"/>
        <family val="2"/>
        <scheme val="minor"/>
      </rPr>
      <t>Tijdens aanbrengen repac ook poeren ontgraven en vullen met repac;</t>
    </r>
  </si>
  <si>
    <r>
      <t xml:space="preserve">Fundering: </t>
    </r>
    <r>
      <rPr>
        <sz val="8"/>
        <color theme="1"/>
        <rFont val="Calibri"/>
        <family val="2"/>
        <scheme val="minor"/>
      </rPr>
      <t>Afspraak over drooghouden poeren en fundatie (regenwater);</t>
    </r>
  </si>
  <si>
    <t>Wel/geen gesloten cabine (zorgt voor veilig gevoel op grote hoogte);</t>
  </si>
  <si>
    <t>Afspreken termijn van keuring  (frequentie);</t>
  </si>
  <si>
    <t>Bij ringleiding (sprinkler), houd voldoende rekening met ruimte tussen kelder en damwand;</t>
  </si>
  <si>
    <t>Er zijn klembalusters te krijgen voor toepassing op damwanden; deze kunnen gecombineerd worden met CombiSafe hekken;</t>
  </si>
  <si>
    <t>Afspraak over overlengtes heiwerk in contract;</t>
  </si>
  <si>
    <t>In tekenwerk ook schuifpoorten en hekwerken uitwerken;</t>
  </si>
  <si>
    <t>Materieel voor opruimen meenmen tijdens inkoop (1 uur per dag);</t>
  </si>
  <si>
    <t>Gezeefd puin/repac op laagste punt in laadkuil toepassen ivm afvoer water naar drain die daar vaak ligt;</t>
  </si>
  <si>
    <t>Het voortrekken van terreinverharding bij logistiek maakt een schone bouwplaats en minder weersafhankelijk;</t>
  </si>
  <si>
    <t>Inritvergunningen voor nieuwe kavels en nagaan welk (gemeente)bedrijf nodig is voor realisatie inrit;</t>
  </si>
  <si>
    <t>Tijdelijke of zsm vaste regenwaterafvoeren voorzien tijdens bouw;</t>
  </si>
  <si>
    <t>Mantelbuis t.b.v. bouwstroom vooraf in puinbaan aanbrengen. Kapot rijden voorkomen;</t>
  </si>
  <si>
    <r>
      <rPr>
        <i/>
        <sz val="8"/>
        <color theme="1"/>
        <rFont val="Calibri"/>
        <family val="2"/>
        <scheme val="minor"/>
      </rPr>
      <t xml:space="preserve">Hallenbouw: </t>
    </r>
    <r>
      <rPr>
        <sz val="8"/>
        <color theme="1"/>
        <rFont val="Calibri"/>
        <family val="2"/>
        <scheme val="minor"/>
      </rPr>
      <t>Rijbanen opnemen tbv montage staal (anders wordt HSP palen kapot gereden);</t>
    </r>
  </si>
  <si>
    <t>Welke gradatie repac toplaag meenemen (0-16 mm is wat vloerenbedrijven vragen);</t>
  </si>
  <si>
    <t>Voorman/uitvoerder op bouw nodig van onderaannemer</t>
  </si>
  <si>
    <t>Houdt rekening met stelruimte T elementen en gevelelementen (minimaal 30mm)</t>
  </si>
  <si>
    <t>Overlengten meenemen, voorkomt achteraf discussies;</t>
  </si>
  <si>
    <t>Rekening houden met handwerk dat duurder is bij Vibro en kopwapening;</t>
  </si>
  <si>
    <t>Afvalverwerking gesnelde kop/puin bij prefab palen</t>
  </si>
  <si>
    <r>
      <rPr>
        <i/>
        <sz val="8"/>
        <color theme="1"/>
        <rFont val="Calibri"/>
        <family val="2"/>
        <scheme val="minor"/>
      </rPr>
      <t xml:space="preserve">Breeam: </t>
    </r>
    <r>
      <rPr>
        <sz val="8"/>
        <color theme="1"/>
        <rFont val="Calibri"/>
        <family val="2"/>
        <scheme val="minor"/>
      </rPr>
      <t>Puin kg meerekenen met Breeam afvalplan</t>
    </r>
  </si>
  <si>
    <t>Vibro beter geschikt in zomerpeirode dan winterperiode, in winter wordt repac vaak volledig kapot gereden;</t>
  </si>
  <si>
    <t>Palen na 5 dagen doormeten, opnemen in planning;</t>
  </si>
  <si>
    <r>
      <t xml:space="preserve">Betonwanden/betoncasco: </t>
    </r>
    <r>
      <rPr>
        <sz val="8"/>
        <color theme="1"/>
        <rFont val="Calibri"/>
        <family val="2"/>
        <scheme val="minor"/>
      </rPr>
      <t>Norm voor vlakheid geld niet bij kolommen en gevel! Wel eisen dat aan de norm voldaan wordt;</t>
    </r>
  </si>
  <si>
    <t>Inmeetrapport inkopen. Dus ook bij kolommen en gevels;</t>
  </si>
  <si>
    <t>Bekisting + ontkisting vloerranden meenemen;</t>
  </si>
  <si>
    <r>
      <rPr>
        <i/>
        <sz val="8"/>
        <color theme="1"/>
        <rFont val="Calibri"/>
        <family val="2"/>
        <scheme val="minor"/>
      </rPr>
      <t xml:space="preserve">Fundering: </t>
    </r>
    <r>
      <rPr>
        <sz val="8"/>
        <color theme="1"/>
        <rFont val="Calibri"/>
        <family val="2"/>
        <scheme val="minor"/>
      </rPr>
      <t>Bijleg wapening op tekening laten verwerken die onstaan door paalmisstanden. Opgave door hoofdconstructeur;</t>
    </r>
  </si>
  <si>
    <r>
      <t xml:space="preserve">Fundering/vloer: </t>
    </r>
    <r>
      <rPr>
        <sz val="8"/>
        <color theme="1"/>
        <rFont val="Calibri"/>
        <family val="2"/>
        <scheme val="minor"/>
      </rPr>
      <t>Koppeling fundatie met vloer dmv stek + haakanker (geen haarspeld in fundatie);</t>
    </r>
  </si>
  <si>
    <t>Bij kleine bouwplaat is een serviceman/portier/verkeersregelaar een must;</t>
  </si>
  <si>
    <t>Bij krappe bouwplaats is verreiker een verrijking;</t>
  </si>
  <si>
    <t>170 terrein inrichting</t>
  </si>
  <si>
    <t>Terrein in stelconplaten ivm schoon en opgeruimd;</t>
  </si>
  <si>
    <t>Grote (dubbele) bouwlift bespaart hijswerk;</t>
  </si>
  <si>
    <t>Afspraak maken over brandstof (elektra gebruik) voor materieel;</t>
  </si>
  <si>
    <t>Bouwhekwerk voor netheid anders begroten. En bij voorkeur semi-permanent hekwerk, liever dan blokken;</t>
  </si>
  <si>
    <t>Op een aantal bouwplaatsen is er een bouwhelm (en andere PBM’s) vrije zone, waarbij de uitvoerderskeet veilig bereikt kan worden zonder helm. Dit kan bijvoorbeeld door middel van een extra hekafscheiding en bordaanduiding. Dit is veilig voor bezoekers en daarnaast is het ook een onderdeel van de beoordeling van ‘Bewuste Bouwers’;</t>
  </si>
  <si>
    <t>Bouwstroom is en blijft een heikel punt op veel van onze projecten. I.o.m. de installateur een plan opstellen kan veel helpen. Voor grootverbruik zijn er ook nieuwe eisen gesteld aan bijvoorbeeld elektrakasten- en/of –containers. Zie hieronder een schema welke als onderlegger van een project besproken kan worden. Let hierbij ook op het (gelijktijdig) gebruik van hefsteigers;</t>
  </si>
  <si>
    <t>054 dienstverlening</t>
  </si>
  <si>
    <t>Vermijd oplevering direct voor vakanties om productiviteitsverlies te voorkomen</t>
  </si>
  <si>
    <t>Onderlaag van mogelijk toekomstige asfaltweg als bouwweg gebruiken</t>
  </si>
  <si>
    <r>
      <rPr>
        <i/>
        <sz val="8"/>
        <color theme="1"/>
        <rFont val="Calibri"/>
        <family val="2"/>
        <scheme val="minor"/>
      </rPr>
      <t xml:space="preserve">Bodeminjectie: </t>
    </r>
    <r>
      <rPr>
        <sz val="8"/>
        <color theme="1"/>
        <rFont val="Calibri"/>
        <family val="2"/>
        <scheme val="minor"/>
      </rPr>
      <t>Zorg voor gedegen onderbouwing en meerdere adviezen, vertrouw niet alleen op prijs en vertrouwen.</t>
    </r>
  </si>
  <si>
    <t>HWA aansluiten op riool. NIET op bestrating ivm vervuiling;</t>
  </si>
  <si>
    <t>Mantelbuizen in fundatie voor slagbomen/schuifpoorten door leverancier laten plaatsen;</t>
  </si>
  <si>
    <t>Schuifpoort maat altijd 1 mtr breder dan de rijbaan aanhouden;</t>
  </si>
  <si>
    <t>Let op valzones (Hek combipalen) en benodigde verkeersregelaars</t>
  </si>
  <si>
    <r>
      <t xml:space="preserve">Dakrand: </t>
    </r>
    <r>
      <rPr>
        <sz val="8"/>
        <color theme="1"/>
        <rFont val="Calibri"/>
        <family val="2"/>
        <scheme val="minor"/>
      </rPr>
      <t>Kies een prefab dakrand bij prefab casco, geeft rust, blijf je in systeem werken (+ minder kans op lekkages door minder balusterpootjes)</t>
    </r>
  </si>
  <si>
    <t>Het bouwen met Gibo wordt als ongezonde werkwijze ervaren, ondanks de aanwezigheid van alle voorgeschreven PBM's. Onderzoek andere mogelijkheden;</t>
  </si>
  <si>
    <t>Door gebruik steiger beter zicht op kwaliteit gevels --&gt; lekkages voorkomen</t>
  </si>
  <si>
    <t>Waterdicht inwerken van de gevels zoveel mogelijk in fabriek ivm veiligheid</t>
  </si>
  <si>
    <t>230 balkons</t>
  </si>
  <si>
    <t>Afschot balkons in relatie tot de toot in de vloer moet kloppend zijn</t>
  </si>
  <si>
    <t>Uitvoeren waterdichting en luchtdichtheidsmeting bij prefab in fabriek</t>
  </si>
  <si>
    <t>Let op afstemming constructeurs. Deelconstructeur betrekken voor uitwerking prefab;</t>
  </si>
  <si>
    <t>Let op hoeveelheid instortvoorzieningen per woning;</t>
  </si>
  <si>
    <t>Let op hoogte vulvloeren ivm hoogte installaties en schade</t>
  </si>
  <si>
    <t>Overweging hijskraan in eigen beheer</t>
  </si>
  <si>
    <t>Alle hijsankers in de elementen gelijk houden</t>
  </si>
  <si>
    <t>2 laags dekkend schilderwerk van de stelkozijn meenemen bij instorten</t>
  </si>
  <si>
    <t>Geen losse stroken inkopen, maar compleet onderdeel incl monteren;</t>
  </si>
  <si>
    <t>Plaatsen tijdens zelfde ruwbouwfase heeft diverse voordelen (logistiek/ veiligheid etc.);</t>
  </si>
  <si>
    <t>Montage tijdens uitvoering staalconstructie. Eenvoudiger voor afwerking beplating + zetwerk</t>
  </si>
  <si>
    <r>
      <rPr>
        <i/>
        <sz val="8"/>
        <color theme="1"/>
        <rFont val="Calibri"/>
        <family val="2"/>
        <scheme val="minor"/>
      </rPr>
      <t>Voortraject:</t>
    </r>
    <r>
      <rPr>
        <sz val="8"/>
        <color theme="1"/>
        <rFont val="Calibri"/>
        <family val="2"/>
        <scheme val="minor"/>
      </rPr>
      <t xml:space="preserve"> plaats windverbanden heeft invloed op planning, denk hierover na!</t>
    </r>
  </si>
  <si>
    <r>
      <rPr>
        <i/>
        <sz val="8"/>
        <color theme="1"/>
        <rFont val="Calibri"/>
        <family val="2"/>
        <scheme val="minor"/>
      </rPr>
      <t xml:space="preserve">Voortraject: </t>
    </r>
    <r>
      <rPr>
        <sz val="8"/>
        <color theme="1"/>
        <rFont val="Calibri"/>
        <family val="2"/>
        <scheme val="minor"/>
      </rPr>
      <t>hulpconstructies tbv installaties inzichtelijk maken;</t>
    </r>
  </si>
  <si>
    <r>
      <rPr>
        <i/>
        <sz val="8"/>
        <color theme="1"/>
        <rFont val="Calibri"/>
        <family val="2"/>
        <scheme val="minor"/>
      </rPr>
      <t>Inkoop:</t>
    </r>
    <r>
      <rPr>
        <sz val="8"/>
        <color theme="1"/>
        <rFont val="Calibri"/>
        <family val="2"/>
        <scheme val="minor"/>
      </rPr>
      <t xml:space="preserve"> afwerking: poedercoaten en/of thermisch verzinken. Of standaard spuitwerk;</t>
    </r>
  </si>
  <si>
    <r>
      <rPr>
        <i/>
        <sz val="8"/>
        <color theme="1"/>
        <rFont val="Calibri"/>
        <family val="2"/>
        <scheme val="minor"/>
      </rPr>
      <t>Inkoop:</t>
    </r>
    <r>
      <rPr>
        <sz val="8"/>
        <color theme="1"/>
        <rFont val="Calibri"/>
        <family val="2"/>
        <scheme val="minor"/>
      </rPr>
      <t xml:space="preserve"> detailberekeningen waar vereist;</t>
    </r>
  </si>
  <si>
    <r>
      <rPr>
        <i/>
        <sz val="8"/>
        <color theme="1"/>
        <rFont val="Calibri"/>
        <family val="2"/>
        <scheme val="minor"/>
      </rPr>
      <t xml:space="preserve">Inkoop: </t>
    </r>
    <r>
      <rPr>
        <sz val="8"/>
        <color theme="1"/>
        <rFont val="Calibri"/>
        <family val="2"/>
        <scheme val="minor"/>
      </rPr>
      <t>lassen van stekeinden in hamerkopsparingen KPV;</t>
    </r>
  </si>
  <si>
    <r>
      <rPr>
        <i/>
        <sz val="8"/>
        <color theme="1"/>
        <rFont val="Calibri"/>
        <family val="2"/>
        <scheme val="minor"/>
      </rPr>
      <t>Inkoop:</t>
    </r>
    <r>
      <rPr>
        <sz val="8"/>
        <color theme="1"/>
        <rFont val="Calibri"/>
        <family val="2"/>
        <scheme val="minor"/>
      </rPr>
      <t xml:space="preserve"> monteren overige casco (vloeren, gasbetonwanden, betonwanden e.d.);</t>
    </r>
  </si>
  <si>
    <r>
      <rPr>
        <i/>
        <sz val="8"/>
        <color theme="1"/>
        <rFont val="Calibri"/>
        <family val="2"/>
        <scheme val="minor"/>
      </rPr>
      <t xml:space="preserve">Inkoop: </t>
    </r>
    <r>
      <rPr>
        <sz val="8"/>
        <color theme="1"/>
        <rFont val="Calibri"/>
        <family val="2"/>
        <scheme val="minor"/>
      </rPr>
      <t>thermische onderbreking waar nodig;</t>
    </r>
  </si>
  <si>
    <t>Wanduitslag tegelwerk laten maken</t>
  </si>
  <si>
    <t>Controleer montage oppervlak (breedte) stalen UNP;</t>
  </si>
  <si>
    <t>Motorpositie controleren, is er ruimte?</t>
  </si>
  <si>
    <t>Nagaan of wieldwingers apart uitbesteed kan worden;</t>
  </si>
  <si>
    <t>Kabeldoorvoer voorzien met mantelbuis (NEN eis);</t>
  </si>
  <si>
    <t>Wieldwingers apart inkopen;</t>
  </si>
  <si>
    <t>Onderconstructie detailleren. Eenvoudig houden met eventueel gips ipv multiplex;</t>
  </si>
  <si>
    <t>Inkrozen slot en scharnieren tijdens ruwbouw (ivm schilderen). Niet tijdens afhangen;</t>
  </si>
  <si>
    <t>Kozijnrubbers worden los meegeleverd door leverancier houten kozijnen. Laat deze plaatsen door deurafhanger.</t>
  </si>
  <si>
    <t>Sluitplan tijdig opstellen (h&amp;s, ruimte onder deuren, deurdrangers enz)</t>
  </si>
  <si>
    <t>Kosten bij vervangen breukglas, ook kosten verwijderen screens voor rekening onderaannnemer;</t>
  </si>
  <si>
    <t>Voldoende verticale stelruimte aanhouden bij alu. gevelkozijnen;</t>
  </si>
  <si>
    <t>Doorvoer kabel tbv screen direct laten afkitten ivm waterdichtheid;</t>
  </si>
  <si>
    <t>Gaten in staal vanuit fabriek laten meenemen</t>
  </si>
  <si>
    <t>Alternatieven zoeken voor het gebruik van draaikiepramen als loopdeur om problemen te voorkomen;</t>
  </si>
  <si>
    <t>Grote dakluiken zien te voorkomen. Goed nadenken over daktoegang (vaste trap heeft nadelen);</t>
  </si>
  <si>
    <t>Afwerken/kitten rondom spuwers;</t>
  </si>
  <si>
    <t>Afwerken aantal sparingen tbv installaties opnemen (Vooral bij scheidingswanden);</t>
  </si>
  <si>
    <t>Afstemmen detial alu kozijnen en beplating. Kozijn staat waterpas, gevel volgt staal. Zetwerk uit 2 delen;</t>
  </si>
  <si>
    <t>Dakplaten met voorgeboorde gaten (voor afvoer regenwater) laten leggen. Wellicht in productie meenemen, óf een alternatieve dakplaat als voorgaande niet mogelijk is, óf na montage gelijk gaten erin laten boren;</t>
  </si>
  <si>
    <t>Profiel-/cannalurevulling dakplaten indien nodig;</t>
  </si>
  <si>
    <t>Brandwerendheid wel/niet, daardoor kan uitvoering naar aluminum of staal (flink prijsverschil);</t>
  </si>
  <si>
    <t>Post meenemen voor herstel beschadigingen. Valt altijd tegen</t>
  </si>
  <si>
    <t>Voorzieningen meenemen tbv tijdelijke randbeveiliging (ook bij vloeren);</t>
  </si>
  <si>
    <t>Trappen tijdens ruwbouw laten plaatsen, dan wel aanvullend thermisch verzinken</t>
  </si>
  <si>
    <t>330 dak</t>
  </si>
  <si>
    <t>Cannelure vulling bovenzijde stalen dakplaat bij brandscheidingen. Controleer als het alleen rookscheiding is</t>
  </si>
  <si>
    <t>Tekenwerk (gemaatvoerd) laten maken als steenwol isolatie wordt gebruikt;</t>
  </si>
  <si>
    <t>Let op weergevoeligheid Betopor isolatie;</t>
  </si>
  <si>
    <t>Lekkages in dak door aanbrengen zonnepanelen door derden zorgde voor;</t>
  </si>
  <si>
    <t>Werkomschrijving van leverancier goed controleren. Deze wordt altijd in uitvoering gebruikt ipv prijsvergelijk.</t>
  </si>
  <si>
    <r>
      <rPr>
        <i/>
        <sz val="8"/>
        <color theme="1"/>
        <rFont val="Calibri"/>
        <family val="2"/>
        <scheme val="minor"/>
      </rPr>
      <t>Inkoop:</t>
    </r>
    <r>
      <rPr>
        <sz val="8"/>
        <color theme="1"/>
        <rFont val="Calibri"/>
        <family val="2"/>
        <scheme val="minor"/>
      </rPr>
      <t xml:space="preserve"> controle op brandwerendheid- en geluidseisen;</t>
    </r>
  </si>
  <si>
    <r>
      <t xml:space="preserve">Inkoop: </t>
    </r>
    <r>
      <rPr>
        <sz val="8"/>
        <color theme="1"/>
        <rFont val="Calibri"/>
        <family val="2"/>
        <scheme val="minor"/>
      </rPr>
      <t>100% uitvoerder van onderaannemer op de bouw;</t>
    </r>
  </si>
  <si>
    <r>
      <t>Inkoop:</t>
    </r>
    <r>
      <rPr>
        <sz val="8"/>
        <color theme="1"/>
        <rFont val="Calibri"/>
        <family val="2"/>
        <scheme val="minor"/>
      </rPr>
      <t xml:space="preserve"> transport door afbouwer zelf laten verzorgen (hoogwerkers/heftruck)</t>
    </r>
  </si>
  <si>
    <t>Dichtleggen trappen huis (volledig) zodat andere partijen deze ook kunnen gebruiken</t>
  </si>
  <si>
    <t>Fijne scan bij voorkeur niet toepassen, hierop is alles te zien. Of grove scan of glad;</t>
  </si>
  <si>
    <t>Afsausen vlak voor oplevering. Eventueel na oplevering iom opdrachtgever om vele schades te voorkomen;</t>
  </si>
  <si>
    <t>Veiligheidsvoorzieningen door opdrachtnemer of PB;</t>
  </si>
  <si>
    <t>Toe te passen lijm voor scan, zodanig dat deze los te krijgen is van ms wand.</t>
  </si>
  <si>
    <t>480 binneninrichting</t>
  </si>
  <si>
    <t>Brandveiligheid in combinatie met sprinkler reductie controleren, dit is niet altijd goed verwerkt in constructeursstukken;</t>
  </si>
  <si>
    <t>Inzetten van één totaal installateur voor de installaties om de coördinatie en controlewerk te verminderen;</t>
  </si>
  <si>
    <t>Installaties in 3D uitwerken, stoppen met 2D ivm afstemmingsverschillen;</t>
  </si>
  <si>
    <t xml:space="preserve">Hoogbouw: Bouwstroom en bouwwater niet door definitieve schachten verslepen zodat je ze eerder kan sluiten. Beter is een sparing in de lifthal/gang voor water en stroom; </t>
  </si>
  <si>
    <t>Stekeinden gebogen inkopen tbv veiligheid;</t>
  </si>
  <si>
    <t>Randen aan balkons meestorten ivm voorkomen vuiligheid</t>
  </si>
  <si>
    <t>Onderste laag GIBO wanden uitvoeren in 'badkamerblokken' of impregneren, om optrekkend vocht te voorkomen;</t>
  </si>
  <si>
    <t>Bij schoonwerk kalkzandsteenwanden, welke in de ruwbouw gelijmd worden, is het raadzaam om een hogere kwaliteit kimblok te kiezen. Zo is er minder sprake van optrekkend vocht en blijvende vochtplekken;</t>
  </si>
  <si>
    <t>Let op groutverbruik (wisselwerking toepassen grout vs afvoerkosten) dus uitbesteden bij heier</t>
  </si>
  <si>
    <t>Bij sandwichelementen water- en luchtdichting zoveel mogelijk vooraf aanbrengen. Ivm weer en veiligheid</t>
  </si>
  <si>
    <t>2026-04-24</t>
  </si>
  <si>
    <t>25.1</t>
  </si>
  <si>
    <t>Toevoegen 100 onderdelen kennisbank</t>
  </si>
  <si>
    <t>Afdekken stekeinden uitbesteden aan casco- of betonbouwer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</si>
</sst>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43" formatCode="_ * #,##0.00_ ;_ * \-#,##0.00_ ;_ * &quot;-&quot;??_ ;_ @_ "/>
    <numFmt numFmtId="164" formatCode="_-&quot;€&quot;\ * #,##0.00_-;_-&quot;€&quot;\ * #,##0.00\-;_-&quot;€&quot;\ * &quot;-&quot;??_-;_-@_-"/>
    <numFmt numFmtId="165" formatCode="_-* #,##0.00_-;_-* #,##0.00\-;_-* &quot;-&quot;??_-;_-@_-"/>
    <numFmt numFmtId="166" formatCode="#,##0.00_ ;[Red]\-#,##0.00\ "/>
    <numFmt numFmtId="167" formatCode="dd/mm/yy;@"/>
    <numFmt numFmtId="168" formatCode="#,##0.00_ ;\-#,##0.00\ "/>
  </numFmts>
  <fonts count="41" x14ac:knownFonts="1">
    <font>
      <sz val="11"/>
      <color theme="1"/>
      <name val="Calibri"/>
      <family val="2"/>
      <scheme val="minor"/>
    </font>
    <font>
      <sz val="8"/>
      <color theme="1"/>
      <name val="Calibri"/>
      <family val="2"/>
      <scheme val="minor"/>
    </font>
    <font>
      <sz val="8"/>
      <color theme="1"/>
      <name val="Calibri"/>
      <family val="2"/>
      <scheme val="minor"/>
    </font>
    <font>
      <sz val="8"/>
      <color theme="1"/>
      <name val="Calibri"/>
      <family val="2"/>
      <scheme val="minor"/>
    </font>
    <font>
      <sz val="11"/>
      <color theme="1"/>
      <name val="Calibri"/>
      <family val="2"/>
      <scheme val="minor"/>
    </font>
    <font>
      <b/>
      <sz val="11"/>
      <color theme="1"/>
      <name val="Calibri"/>
      <family val="2"/>
      <scheme val="minor"/>
    </font>
    <font>
      <u/>
      <sz val="8"/>
      <color theme="1"/>
      <name val="Calibri"/>
      <family val="2"/>
      <scheme val="minor"/>
    </font>
    <font>
      <sz val="8"/>
      <color theme="1"/>
      <name val="Calibri"/>
      <family val="2"/>
      <scheme val="minor"/>
    </font>
    <font>
      <b/>
      <sz val="9"/>
      <name val="Helvetica"/>
    </font>
    <font>
      <sz val="8"/>
      <name val="Helvetica"/>
    </font>
    <font>
      <sz val="10"/>
      <name val="Arial"/>
      <family val="2"/>
    </font>
    <font>
      <b/>
      <sz val="8"/>
      <name val="Tahoma"/>
      <family val="2"/>
    </font>
    <font>
      <sz val="8"/>
      <name val="Calibri"/>
      <family val="2"/>
      <scheme val="minor"/>
    </font>
    <font>
      <u/>
      <sz val="11"/>
      <color theme="10"/>
      <name val="Calibri"/>
      <family val="2"/>
      <scheme val="minor"/>
    </font>
    <font>
      <i/>
      <sz val="8"/>
      <color theme="1"/>
      <name val="Calibri"/>
      <family val="2"/>
      <scheme val="minor"/>
    </font>
    <font>
      <sz val="20"/>
      <color theme="1"/>
      <name val="Calibri"/>
      <family val="2"/>
      <scheme val="minor"/>
    </font>
    <font>
      <sz val="11"/>
      <color rgb="FFFF0000"/>
      <name val="Calibri"/>
      <family val="2"/>
      <scheme val="minor"/>
    </font>
    <font>
      <b/>
      <sz val="8"/>
      <name val="Arial"/>
      <family val="2"/>
    </font>
    <font>
      <sz val="8"/>
      <name val="Arial"/>
      <family val="2"/>
    </font>
    <font>
      <b/>
      <sz val="12"/>
      <color theme="1"/>
      <name val="Arial"/>
      <family val="2"/>
    </font>
    <font>
      <sz val="8"/>
      <color theme="1"/>
      <name val="Arial"/>
      <family val="2"/>
    </font>
    <font>
      <sz val="11"/>
      <color theme="1"/>
      <name val="Arial"/>
      <family val="2"/>
    </font>
    <font>
      <b/>
      <sz val="8"/>
      <color theme="1"/>
      <name val="Arial"/>
      <family val="2"/>
    </font>
    <font>
      <sz val="7"/>
      <color theme="1"/>
      <name val="Arial"/>
      <family val="2"/>
    </font>
    <font>
      <b/>
      <i/>
      <sz val="10"/>
      <color theme="0"/>
      <name val="Arial"/>
      <family val="2"/>
    </font>
    <font>
      <sz val="10"/>
      <color theme="0"/>
      <name val="Arial"/>
      <family val="2"/>
    </font>
    <font>
      <sz val="10"/>
      <color theme="1"/>
      <name val="Arial"/>
      <family val="2"/>
    </font>
    <font>
      <i/>
      <sz val="10"/>
      <color theme="0"/>
      <name val="Arial"/>
      <family val="2"/>
    </font>
    <font>
      <b/>
      <sz val="10"/>
      <color theme="0"/>
      <name val="Arial"/>
      <family val="2"/>
    </font>
    <font>
      <b/>
      <sz val="10"/>
      <color rgb="FF0070C0"/>
      <name val="Arial"/>
      <family val="2"/>
    </font>
    <font>
      <sz val="10"/>
      <color theme="0" tint="-0.499984740745262"/>
      <name val="Arial"/>
      <family val="2"/>
    </font>
    <font>
      <b/>
      <sz val="10"/>
      <color theme="9" tint="-0.249977111117893"/>
      <name val="Arial"/>
      <family val="2"/>
    </font>
    <font>
      <b/>
      <i/>
      <sz val="8"/>
      <name val="Arial"/>
      <family val="2"/>
    </font>
    <font>
      <u/>
      <sz val="8"/>
      <color theme="1"/>
      <name val="Arial"/>
      <family val="2"/>
    </font>
    <font>
      <sz val="8"/>
      <color theme="0"/>
      <name val="Arial"/>
      <family val="2"/>
    </font>
    <font>
      <b/>
      <sz val="8"/>
      <color theme="0"/>
      <name val="Arial"/>
      <family val="2"/>
    </font>
    <font>
      <u/>
      <sz val="8"/>
      <color theme="10"/>
      <name val="Arial"/>
      <family val="2"/>
    </font>
    <font>
      <sz val="8"/>
      <color rgb="FF0070C0"/>
      <name val="Arial"/>
      <family val="2"/>
    </font>
    <font>
      <b/>
      <sz val="8"/>
      <color rgb="FFFF0000"/>
      <name val="Arial"/>
      <family val="2"/>
    </font>
    <font>
      <sz val="8"/>
      <color rgb="FFFF0000"/>
      <name val="Arial"/>
      <family val="2"/>
    </font>
    <font>
      <b/>
      <sz val="9"/>
      <name val="Helvetica"/>
      <family val="2"/>
    </font>
  </fonts>
  <fills count="13">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0267B0"/>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theme="0"/>
        <bgColor indexed="64"/>
      </patternFill>
    </fill>
    <fill>
      <patternFill patternType="solid">
        <fgColor rgb="FF00B0F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79998168889431442"/>
        <bgColor indexed="64"/>
      </patternFill>
    </fill>
  </fills>
  <borders count="38">
    <border>
      <left/>
      <right/>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diagonal/>
    </border>
    <border>
      <left style="thin">
        <color indexed="64"/>
      </left>
      <right style="thin">
        <color indexed="64"/>
      </right>
      <top style="hair">
        <color indexed="64"/>
      </top>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hair">
        <color indexed="64"/>
      </top>
      <bottom style="thin">
        <color indexed="64"/>
      </bottom>
      <diagonal/>
    </border>
    <border>
      <left style="medium">
        <color auto="1"/>
      </left>
      <right/>
      <top/>
      <bottom/>
      <diagonal/>
    </border>
    <border>
      <left style="thin">
        <color indexed="64"/>
      </left>
      <right style="dotted">
        <color theme="0" tint="-0.499984740745262"/>
      </right>
      <top style="hair">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hair">
        <color theme="0" tint="-0.499984740745262"/>
      </top>
      <bottom style="thin">
        <color indexed="64"/>
      </bottom>
      <diagonal/>
    </border>
    <border>
      <left style="thin">
        <color indexed="64"/>
      </left>
      <right/>
      <top style="hair">
        <color theme="0" tint="-0.499984740745262"/>
      </top>
      <bottom style="thin">
        <color indexed="64"/>
      </bottom>
      <diagonal/>
    </border>
    <border>
      <left/>
      <right/>
      <top style="hair">
        <color theme="0" tint="-0.499984740745262"/>
      </top>
      <bottom style="thin">
        <color indexed="64"/>
      </bottom>
      <diagonal/>
    </border>
    <border>
      <left/>
      <right style="thin">
        <color indexed="64"/>
      </right>
      <top style="hair">
        <color theme="0" tint="-0.499984740745262"/>
      </top>
      <bottom style="thin">
        <color indexed="64"/>
      </bottom>
      <diagonal/>
    </border>
  </borders>
  <cellStyleXfs count="6">
    <xf numFmtId="0" fontId="0" fillId="0" borderId="0"/>
    <xf numFmtId="43" fontId="4" fillId="0" borderId="0" applyFont="0" applyFill="0" applyBorder="0" applyAlignment="0" applyProtection="0"/>
    <xf numFmtId="44" fontId="4" fillId="0" borderId="0" applyFont="0" applyFill="0" applyBorder="0" applyAlignment="0" applyProtection="0"/>
    <xf numFmtId="165" fontId="10" fillId="0" borderId="0" applyFont="0" applyFill="0" applyBorder="0" applyAlignment="0" applyProtection="0"/>
    <xf numFmtId="0" fontId="10" fillId="0" borderId="0"/>
    <xf numFmtId="0" fontId="13" fillId="0" borderId="0" applyNumberFormat="0" applyFill="0" applyBorder="0" applyAlignment="0" applyProtection="0"/>
  </cellStyleXfs>
  <cellXfs count="243">
    <xf numFmtId="0" fontId="0" fillId="0" borderId="0" xfId="0"/>
    <xf numFmtId="0" fontId="5" fillId="2" borderId="0" xfId="0" applyFont="1" applyFill="1"/>
    <xf numFmtId="49" fontId="6" fillId="2" borderId="0" xfId="0" applyNumberFormat="1" applyFont="1" applyFill="1" applyAlignment="1">
      <alignment horizontal="left"/>
    </xf>
    <xf numFmtId="0" fontId="8" fillId="3" borderId="0" xfId="0" applyFont="1" applyFill="1" applyAlignment="1">
      <alignment horizontal="left" vertical="top" wrapText="1"/>
    </xf>
    <xf numFmtId="0" fontId="9" fillId="0" borderId="0" xfId="0" applyFont="1"/>
    <xf numFmtId="0" fontId="0" fillId="0" borderId="0" xfId="0" applyAlignment="1">
      <alignment horizontal="center" vertical="top"/>
    </xf>
    <xf numFmtId="165" fontId="11" fillId="0" borderId="0" xfId="3" applyFont="1"/>
    <xf numFmtId="0" fontId="0" fillId="0" borderId="0" xfId="0" applyAlignment="1">
      <alignment horizontal="left" vertical="top" wrapText="1"/>
    </xf>
    <xf numFmtId="0" fontId="0" fillId="0" borderId="0" xfId="0" applyAlignment="1">
      <alignment horizontal="left" vertical="top"/>
    </xf>
    <xf numFmtId="49" fontId="3" fillId="0" borderId="20" xfId="0" applyNumberFormat="1" applyFont="1" applyBorder="1" applyAlignment="1">
      <alignment horizontal="left" vertical="top" wrapText="1"/>
    </xf>
    <xf numFmtId="49" fontId="3" fillId="0" borderId="22" xfId="0" applyNumberFormat="1" applyFont="1" applyBorder="1" applyAlignment="1">
      <alignment horizontal="left" vertical="top" wrapText="1"/>
    </xf>
    <xf numFmtId="49" fontId="3" fillId="0" borderId="25" xfId="0" applyNumberFormat="1" applyFont="1" applyBorder="1" applyAlignment="1">
      <alignment vertical="top" wrapText="1"/>
    </xf>
    <xf numFmtId="0" fontId="8" fillId="3" borderId="8" xfId="0" applyFont="1" applyFill="1" applyBorder="1" applyAlignment="1">
      <alignment horizontal="left" vertical="top" wrapText="1"/>
    </xf>
    <xf numFmtId="49" fontId="3" fillId="0" borderId="25" xfId="0" applyNumberFormat="1" applyFont="1" applyBorder="1" applyAlignment="1">
      <alignment horizontal="left" vertical="top" wrapText="1"/>
    </xf>
    <xf numFmtId="49" fontId="3" fillId="0" borderId="22" xfId="0" applyNumberFormat="1" applyFont="1" applyBorder="1" applyAlignment="1">
      <alignment horizontal="left"/>
    </xf>
    <xf numFmtId="49" fontId="3" fillId="0" borderId="22" xfId="0" applyNumberFormat="1" applyFont="1" applyBorder="1" applyAlignment="1">
      <alignment horizontal="left" wrapText="1"/>
    </xf>
    <xf numFmtId="49" fontId="14" fillId="0" borderId="22" xfId="0" applyNumberFormat="1" applyFont="1" applyBorder="1" applyAlignment="1">
      <alignment horizontal="left" vertical="top" wrapText="1"/>
    </xf>
    <xf numFmtId="49" fontId="3" fillId="0" borderId="3" xfId="0" applyNumberFormat="1" applyFont="1" applyBorder="1" applyAlignment="1">
      <alignment horizontal="left"/>
    </xf>
    <xf numFmtId="49" fontId="3" fillId="0" borderId="3" xfId="0" applyNumberFormat="1" applyFont="1" applyBorder="1" applyAlignment="1">
      <alignment horizontal="left" wrapText="1"/>
    </xf>
    <xf numFmtId="49" fontId="3" fillId="0" borderId="3" xfId="0" applyNumberFormat="1" applyFont="1" applyBorder="1" applyAlignment="1">
      <alignment horizontal="left" vertical="top" wrapText="1"/>
    </xf>
    <xf numFmtId="0" fontId="0" fillId="0" borderId="0" xfId="0" applyAlignment="1">
      <alignment horizontal="left"/>
    </xf>
    <xf numFmtId="49" fontId="3" fillId="0" borderId="26" xfId="0" applyNumberFormat="1" applyFont="1" applyBorder="1" applyAlignment="1">
      <alignment vertical="top" wrapText="1"/>
    </xf>
    <xf numFmtId="1" fontId="0" fillId="0" borderId="0" xfId="0" applyNumberFormat="1" applyAlignment="1">
      <alignment horizontal="center"/>
    </xf>
    <xf numFmtId="1" fontId="3" fillId="3" borderId="0" xfId="0" applyNumberFormat="1" applyFont="1" applyFill="1" applyAlignment="1">
      <alignment horizontal="center" vertical="top"/>
    </xf>
    <xf numFmtId="1" fontId="7" fillId="3" borderId="7" xfId="0" applyNumberFormat="1" applyFont="1" applyFill="1" applyBorder="1" applyAlignment="1">
      <alignment horizontal="center" vertical="top"/>
    </xf>
    <xf numFmtId="1" fontId="3" fillId="0" borderId="25" xfId="0" applyNumberFormat="1" applyFont="1" applyBorder="1" applyAlignment="1">
      <alignment horizontal="center" vertical="top"/>
    </xf>
    <xf numFmtId="1" fontId="7" fillId="3" borderId="7" xfId="0" applyNumberFormat="1" applyFont="1" applyFill="1" applyBorder="1" applyAlignment="1">
      <alignment horizontal="center" vertical="top" wrapText="1"/>
    </xf>
    <xf numFmtId="1" fontId="0" fillId="3" borderId="7" xfId="0" applyNumberFormat="1" applyFill="1" applyBorder="1" applyAlignment="1">
      <alignment horizontal="center"/>
    </xf>
    <xf numFmtId="1" fontId="3" fillId="3" borderId="25" xfId="0" applyNumberFormat="1" applyFont="1" applyFill="1" applyBorder="1" applyAlignment="1">
      <alignment horizontal="center" vertical="top"/>
    </xf>
    <xf numFmtId="0" fontId="16" fillId="6" borderId="0" xfId="0" applyFont="1" applyFill="1"/>
    <xf numFmtId="0" fontId="0" fillId="6" borderId="0" xfId="0" applyFill="1"/>
    <xf numFmtId="1" fontId="6" fillId="2" borderId="27" xfId="0" applyNumberFormat="1" applyFont="1" applyFill="1" applyBorder="1" applyAlignment="1">
      <alignment horizontal="center"/>
    </xf>
    <xf numFmtId="49" fontId="6" fillId="2" borderId="28" xfId="0" applyNumberFormat="1" applyFont="1" applyFill="1" applyBorder="1" applyAlignment="1">
      <alignment horizontal="left"/>
    </xf>
    <xf numFmtId="49" fontId="2" fillId="0" borderId="25" xfId="0" applyNumberFormat="1" applyFont="1" applyBorder="1" applyAlignment="1">
      <alignment vertical="top" wrapText="1"/>
    </xf>
    <xf numFmtId="1" fontId="2" fillId="0" borderId="25" xfId="0" applyNumberFormat="1" applyFont="1" applyBorder="1" applyAlignment="1">
      <alignment horizontal="center" vertical="top"/>
    </xf>
    <xf numFmtId="49" fontId="0" fillId="0" borderId="0" xfId="0" applyNumberFormat="1"/>
    <xf numFmtId="49" fontId="19" fillId="0" borderId="0" xfId="0" applyNumberFormat="1" applyFont="1"/>
    <xf numFmtId="49" fontId="20" fillId="0" borderId="0" xfId="0" applyNumberFormat="1" applyFont="1"/>
    <xf numFmtId="0" fontId="20" fillId="0" borderId="0" xfId="0" applyFont="1"/>
    <xf numFmtId="0" fontId="21" fillId="0" borderId="0" xfId="0" applyFont="1"/>
    <xf numFmtId="166" fontId="20" fillId="0" borderId="0" xfId="0" applyNumberFormat="1" applyFont="1"/>
    <xf numFmtId="49" fontId="22" fillId="0" borderId="0" xfId="0" applyNumberFormat="1" applyFont="1"/>
    <xf numFmtId="49" fontId="20" fillId="0" borderId="0" xfId="0" applyNumberFormat="1" applyFont="1" applyAlignment="1">
      <alignment horizontal="right"/>
    </xf>
    <xf numFmtId="49" fontId="20" fillId="0" borderId="1" xfId="0" applyNumberFormat="1" applyFont="1" applyBorder="1"/>
    <xf numFmtId="49" fontId="23" fillId="0" borderId="1" xfId="0" applyNumberFormat="1" applyFont="1" applyBorder="1" applyAlignment="1">
      <alignment horizontal="right"/>
    </xf>
    <xf numFmtId="0" fontId="27" fillId="4" borderId="12" xfId="4" applyFont="1" applyFill="1" applyBorder="1" applyAlignment="1">
      <alignment horizontal="center"/>
    </xf>
    <xf numFmtId="49" fontId="18" fillId="2" borderId="9" xfId="4" applyNumberFormat="1" applyFont="1" applyFill="1" applyBorder="1" applyAlignment="1">
      <alignment horizontal="center"/>
    </xf>
    <xf numFmtId="49" fontId="18" fillId="2" borderId="11" xfId="4" applyNumberFormat="1" applyFont="1" applyFill="1" applyBorder="1" applyAlignment="1">
      <alignment horizontal="center"/>
    </xf>
    <xf numFmtId="49" fontId="18" fillId="2" borderId="10" xfId="4" applyNumberFormat="1" applyFont="1" applyFill="1" applyBorder="1" applyAlignment="1">
      <alignment horizontal="center"/>
    </xf>
    <xf numFmtId="0" fontId="18" fillId="2" borderId="18" xfId="0" applyFont="1" applyFill="1" applyBorder="1" applyAlignment="1">
      <alignment horizontal="center"/>
    </xf>
    <xf numFmtId="44" fontId="20" fillId="2" borderId="19" xfId="2" applyFont="1" applyFill="1" applyBorder="1" applyAlignment="1" applyProtection="1">
      <alignment horizontal="right" wrapText="1"/>
    </xf>
    <xf numFmtId="0" fontId="20" fillId="0" borderId="20" xfId="0" applyFont="1" applyBorder="1" applyAlignment="1">
      <alignment wrapText="1"/>
    </xf>
    <xf numFmtId="0" fontId="22" fillId="0" borderId="12" xfId="0" applyFont="1" applyBorder="1" applyAlignment="1">
      <alignment horizontal="center"/>
    </xf>
    <xf numFmtId="0" fontId="35" fillId="4" borderId="12" xfId="0" applyFont="1" applyFill="1" applyBorder="1" applyAlignment="1">
      <alignment horizontal="right"/>
    </xf>
    <xf numFmtId="0" fontId="17" fillId="2" borderId="5" xfId="4" applyFont="1" applyFill="1" applyBorder="1" applyAlignment="1">
      <alignment horizontal="right"/>
    </xf>
    <xf numFmtId="0" fontId="17" fillId="2" borderId="12" xfId="4" applyFont="1" applyFill="1" applyBorder="1" applyAlignment="1">
      <alignment horizontal="right"/>
    </xf>
    <xf numFmtId="0" fontId="17" fillId="2" borderId="6" xfId="4" applyFont="1" applyFill="1" applyBorder="1" applyAlignment="1">
      <alignment horizontal="right"/>
    </xf>
    <xf numFmtId="49" fontId="33" fillId="2" borderId="20" xfId="0" applyNumberFormat="1" applyFont="1" applyFill="1" applyBorder="1" applyAlignment="1">
      <alignment wrapText="1"/>
    </xf>
    <xf numFmtId="49" fontId="20" fillId="0" borderId="20" xfId="0" applyNumberFormat="1" applyFont="1" applyBorder="1" applyAlignment="1">
      <alignment wrapText="1"/>
    </xf>
    <xf numFmtId="49" fontId="20" fillId="2" borderId="20" xfId="0" applyNumberFormat="1" applyFont="1" applyFill="1" applyBorder="1" applyAlignment="1">
      <alignment wrapText="1"/>
    </xf>
    <xf numFmtId="166" fontId="18" fillId="2" borderId="17" xfId="0" applyNumberFormat="1" applyFont="1" applyFill="1" applyBorder="1" applyAlignment="1">
      <alignment horizontal="center"/>
    </xf>
    <xf numFmtId="166" fontId="20" fillId="2" borderId="18" xfId="1" applyNumberFormat="1" applyFont="1" applyFill="1" applyBorder="1" applyAlignment="1" applyProtection="1">
      <alignment horizontal="center"/>
    </xf>
    <xf numFmtId="166" fontId="18" fillId="2" borderId="17" xfId="0" applyNumberFormat="1" applyFont="1" applyFill="1" applyBorder="1" applyAlignment="1">
      <alignment horizontal="right"/>
    </xf>
    <xf numFmtId="166" fontId="18" fillId="0" borderId="17" xfId="0" applyNumberFormat="1" applyFont="1" applyBorder="1" applyAlignment="1">
      <alignment horizontal="right"/>
    </xf>
    <xf numFmtId="166" fontId="20" fillId="2" borderId="18" xfId="1" applyNumberFormat="1" applyFont="1" applyFill="1" applyBorder="1" applyAlignment="1" applyProtection="1">
      <alignment horizontal="right"/>
    </xf>
    <xf numFmtId="166" fontId="20" fillId="0" borderId="18" xfId="1" applyNumberFormat="1" applyFont="1" applyFill="1" applyBorder="1" applyAlignment="1" applyProtection="1">
      <alignment horizontal="right"/>
    </xf>
    <xf numFmtId="166" fontId="20" fillId="2" borderId="19" xfId="2" applyNumberFormat="1" applyFont="1" applyFill="1" applyBorder="1" applyAlignment="1" applyProtection="1">
      <alignment horizontal="right"/>
    </xf>
    <xf numFmtId="166" fontId="20" fillId="0" borderId="19" xfId="2" applyNumberFormat="1" applyFont="1" applyFill="1" applyBorder="1" applyAlignment="1" applyProtection="1">
      <alignment horizontal="right"/>
    </xf>
    <xf numFmtId="0" fontId="36" fillId="0" borderId="20" xfId="5" applyNumberFormat="1" applyFont="1" applyBorder="1" applyAlignment="1">
      <alignment wrapText="1"/>
    </xf>
    <xf numFmtId="2" fontId="17" fillId="2" borderId="12" xfId="4" applyNumberFormat="1" applyFont="1" applyFill="1" applyBorder="1" applyAlignment="1">
      <alignment horizontal="right"/>
    </xf>
    <xf numFmtId="4" fontId="17" fillId="2" borderId="12" xfId="4" applyNumberFormat="1" applyFont="1" applyFill="1" applyBorder="1" applyAlignment="1">
      <alignment horizontal="right"/>
    </xf>
    <xf numFmtId="168" fontId="21" fillId="0" borderId="0" xfId="0" applyNumberFormat="1" applyFont="1" applyAlignment="1">
      <alignment horizontal="right"/>
    </xf>
    <xf numFmtId="49" fontId="21" fillId="0" borderId="0" xfId="0" applyNumberFormat="1" applyFont="1" applyAlignment="1">
      <alignment horizontal="left"/>
    </xf>
    <xf numFmtId="0" fontId="22" fillId="0" borderId="12" xfId="0" applyFont="1" applyBorder="1" applyAlignment="1">
      <alignment horizontal="right"/>
    </xf>
    <xf numFmtId="49" fontId="31" fillId="0" borderId="0" xfId="4" applyNumberFormat="1" applyFont="1" applyAlignment="1">
      <alignment horizontal="center"/>
    </xf>
    <xf numFmtId="49" fontId="18" fillId="0" borderId="0" xfId="4" applyNumberFormat="1" applyFont="1" applyAlignment="1">
      <alignment horizontal="center"/>
    </xf>
    <xf numFmtId="49" fontId="37" fillId="0" borderId="11" xfId="4" applyNumberFormat="1" applyFont="1" applyBorder="1" applyAlignment="1">
      <alignment horizontal="left"/>
    </xf>
    <xf numFmtId="49" fontId="20" fillId="2" borderId="0" xfId="0" applyNumberFormat="1" applyFont="1" applyFill="1"/>
    <xf numFmtId="166" fontId="20" fillId="2" borderId="0" xfId="0" applyNumberFormat="1" applyFont="1" applyFill="1" applyAlignment="1">
      <alignment horizontal="right"/>
    </xf>
    <xf numFmtId="49" fontId="20" fillId="2" borderId="0" xfId="0" applyNumberFormat="1" applyFont="1" applyFill="1" applyAlignment="1">
      <alignment horizontal="left"/>
    </xf>
    <xf numFmtId="49" fontId="22" fillId="9" borderId="0" xfId="0" applyNumberFormat="1" applyFont="1" applyFill="1"/>
    <xf numFmtId="166" fontId="22" fillId="9" borderId="0" xfId="0" applyNumberFormat="1" applyFont="1" applyFill="1"/>
    <xf numFmtId="49" fontId="22" fillId="10" borderId="0" xfId="0" applyNumberFormat="1" applyFont="1" applyFill="1"/>
    <xf numFmtId="166" fontId="22" fillId="10" borderId="0" xfId="0" applyNumberFormat="1" applyFont="1" applyFill="1"/>
    <xf numFmtId="49" fontId="22" fillId="11" borderId="0" xfId="0" applyNumberFormat="1" applyFont="1" applyFill="1"/>
    <xf numFmtId="166" fontId="22" fillId="11" borderId="0" xfId="0" applyNumberFormat="1" applyFont="1" applyFill="1"/>
    <xf numFmtId="49" fontId="22" fillId="7" borderId="0" xfId="0" applyNumberFormat="1" applyFont="1" applyFill="1"/>
    <xf numFmtId="166" fontId="22" fillId="7" borderId="0" xfId="0" applyNumberFormat="1" applyFont="1" applyFill="1"/>
    <xf numFmtId="49" fontId="17" fillId="0" borderId="14" xfId="4" applyNumberFormat="1" applyFont="1" applyBorder="1" applyAlignment="1">
      <alignment horizontal="left"/>
    </xf>
    <xf numFmtId="49" fontId="20" fillId="0" borderId="17" xfId="0" quotePrefix="1" applyNumberFormat="1" applyFont="1" applyBorder="1" applyAlignment="1">
      <alignment horizontal="left"/>
    </xf>
    <xf numFmtId="49" fontId="20" fillId="5" borderId="17" xfId="0" quotePrefix="1" applyNumberFormat="1" applyFont="1" applyFill="1" applyBorder="1" applyAlignment="1">
      <alignment horizontal="left"/>
    </xf>
    <xf numFmtId="49" fontId="20" fillId="0" borderId="29" xfId="0" quotePrefix="1" applyNumberFormat="1" applyFont="1" applyBorder="1" applyAlignment="1">
      <alignment horizontal="left"/>
    </xf>
    <xf numFmtId="49" fontId="21" fillId="0" borderId="7" xfId="0" applyNumberFormat="1" applyFont="1" applyBorder="1" applyAlignment="1">
      <alignment horizontal="left"/>
    </xf>
    <xf numFmtId="49" fontId="20" fillId="0" borderId="0" xfId="0" applyNumberFormat="1" applyFont="1" applyAlignment="1">
      <alignment horizontal="left"/>
    </xf>
    <xf numFmtId="167" fontId="20" fillId="0" borderId="0" xfId="0" applyNumberFormat="1" applyFont="1" applyAlignment="1">
      <alignment horizontal="left"/>
    </xf>
    <xf numFmtId="49" fontId="18" fillId="0" borderId="0" xfId="4" applyNumberFormat="1" applyFont="1" applyAlignment="1">
      <alignment horizontal="left"/>
    </xf>
    <xf numFmtId="49" fontId="17" fillId="2" borderId="5" xfId="4" applyNumberFormat="1" applyFont="1" applyFill="1" applyBorder="1" applyAlignment="1">
      <alignment horizontal="left"/>
    </xf>
    <xf numFmtId="0" fontId="17" fillId="2" borderId="12" xfId="4" applyFont="1" applyFill="1" applyBorder="1" applyAlignment="1">
      <alignment horizontal="left"/>
    </xf>
    <xf numFmtId="49" fontId="20" fillId="0" borderId="30" xfId="0" applyNumberFormat="1" applyFont="1" applyBorder="1"/>
    <xf numFmtId="166" fontId="20" fillId="2" borderId="30" xfId="0" applyNumberFormat="1" applyFont="1" applyFill="1" applyBorder="1" applyAlignment="1">
      <alignment horizontal="left"/>
    </xf>
    <xf numFmtId="0" fontId="22" fillId="0" borderId="0" xfId="0" applyFont="1"/>
    <xf numFmtId="49" fontId="20" fillId="0" borderId="0" xfId="0" quotePrefix="1" applyNumberFormat="1" applyFont="1"/>
    <xf numFmtId="49" fontId="20" fillId="0" borderId="31" xfId="0" applyNumberFormat="1" applyFont="1" applyBorder="1" applyAlignment="1">
      <alignment horizontal="left"/>
    </xf>
    <xf numFmtId="49" fontId="20" fillId="0" borderId="17" xfId="0" applyNumberFormat="1" applyFont="1" applyBorder="1" applyAlignment="1">
      <alignment horizontal="left"/>
    </xf>
    <xf numFmtId="166" fontId="18" fillId="0" borderId="17" xfId="0" applyNumberFormat="1" applyFont="1" applyBorder="1" applyAlignment="1">
      <alignment horizontal="center"/>
    </xf>
    <xf numFmtId="166" fontId="20" fillId="0" borderId="18" xfId="1" applyNumberFormat="1" applyFont="1" applyFill="1" applyBorder="1" applyAlignment="1" applyProtection="1">
      <alignment horizontal="center"/>
    </xf>
    <xf numFmtId="1" fontId="20" fillId="0" borderId="20" xfId="0" applyNumberFormat="1" applyFont="1" applyBorder="1" applyAlignment="1">
      <alignment horizontal="left"/>
    </xf>
    <xf numFmtId="1" fontId="20" fillId="0" borderId="24" xfId="0" applyNumberFormat="1" applyFont="1" applyBorder="1" applyAlignment="1">
      <alignment horizontal="left"/>
    </xf>
    <xf numFmtId="166" fontId="20" fillId="2" borderId="0" xfId="0" applyNumberFormat="1" applyFont="1" applyFill="1" applyAlignment="1">
      <alignment horizontal="left"/>
    </xf>
    <xf numFmtId="0" fontId="20" fillId="12" borderId="0" xfId="0" applyFont="1" applyFill="1"/>
    <xf numFmtId="49" fontId="39" fillId="0" borderId="0" xfId="0" applyNumberFormat="1" applyFont="1"/>
    <xf numFmtId="166" fontId="20" fillId="0" borderId="19" xfId="2" applyNumberFormat="1" applyFont="1" applyFill="1" applyBorder="1" applyAlignment="1" applyProtection="1">
      <alignment horizontal="right" wrapText="1"/>
    </xf>
    <xf numFmtId="49" fontId="20" fillId="0" borderId="32" xfId="0" quotePrefix="1" applyNumberFormat="1" applyFont="1" applyBorder="1" applyAlignment="1">
      <alignment horizontal="left"/>
    </xf>
    <xf numFmtId="0" fontId="20" fillId="0" borderId="22" xfId="0" applyFont="1" applyBorder="1" applyAlignment="1">
      <alignment wrapText="1"/>
    </xf>
    <xf numFmtId="166" fontId="18" fillId="0" borderId="32" xfId="0" applyNumberFormat="1" applyFont="1" applyBorder="1" applyAlignment="1">
      <alignment horizontal="right"/>
    </xf>
    <xf numFmtId="166" fontId="20" fillId="0" borderId="21" xfId="1" applyNumberFormat="1" applyFont="1" applyFill="1" applyBorder="1" applyAlignment="1" applyProtection="1">
      <alignment horizontal="right"/>
    </xf>
    <xf numFmtId="166" fontId="20" fillId="0" borderId="33" xfId="2" applyNumberFormat="1" applyFont="1" applyFill="1" applyBorder="1" applyAlignment="1" applyProtection="1">
      <alignment horizontal="right"/>
    </xf>
    <xf numFmtId="49" fontId="20" fillId="0" borderId="22" xfId="0" applyNumberFormat="1" applyFont="1" applyBorder="1" applyAlignment="1">
      <alignment wrapText="1"/>
    </xf>
    <xf numFmtId="0" fontId="20" fillId="0" borderId="34" xfId="0" applyFont="1" applyBorder="1" applyAlignment="1">
      <alignment wrapText="1"/>
    </xf>
    <xf numFmtId="166" fontId="18" fillId="0" borderId="35" xfId="0" applyNumberFormat="1" applyFont="1" applyBorder="1" applyAlignment="1">
      <alignment horizontal="right"/>
    </xf>
    <xf numFmtId="166" fontId="20" fillId="0" borderId="36" xfId="1" applyNumberFormat="1" applyFont="1" applyFill="1" applyBorder="1" applyAlignment="1" applyProtection="1">
      <alignment horizontal="right"/>
    </xf>
    <xf numFmtId="166" fontId="20" fillId="0" borderId="37" xfId="2" applyNumberFormat="1" applyFont="1" applyFill="1" applyBorder="1" applyAlignment="1" applyProtection="1">
      <alignment horizontal="right"/>
    </xf>
    <xf numFmtId="49" fontId="20" fillId="0" borderId="34" xfId="0" applyNumberFormat="1" applyFont="1" applyBorder="1" applyAlignment="1">
      <alignment wrapText="1"/>
    </xf>
    <xf numFmtId="44" fontId="17" fillId="2" borderId="12" xfId="2" applyFont="1" applyFill="1" applyBorder="1" applyAlignment="1" applyProtection="1">
      <alignment horizontal="right"/>
    </xf>
    <xf numFmtId="1" fontId="20" fillId="0" borderId="22" xfId="0" applyNumberFormat="1" applyFont="1" applyBorder="1" applyAlignment="1">
      <alignment horizontal="left"/>
    </xf>
    <xf numFmtId="49" fontId="35" fillId="4" borderId="5" xfId="0" applyNumberFormat="1" applyFont="1" applyFill="1" applyBorder="1" applyAlignment="1">
      <alignment horizontal="left"/>
    </xf>
    <xf numFmtId="49" fontId="20" fillId="2" borderId="17" xfId="0" quotePrefix="1" applyNumberFormat="1" applyFont="1" applyFill="1" applyBorder="1" applyAlignment="1">
      <alignment horizontal="left"/>
    </xf>
    <xf numFmtId="49" fontId="28" fillId="4" borderId="7" xfId="4" applyNumberFormat="1" applyFont="1" applyFill="1" applyBorder="1" applyAlignment="1">
      <alignment horizontal="left"/>
    </xf>
    <xf numFmtId="49" fontId="24" fillId="4" borderId="0" xfId="4" applyNumberFormat="1" applyFont="1" applyFill="1" applyAlignment="1">
      <alignment horizontal="left"/>
    </xf>
    <xf numFmtId="2" fontId="25" fillId="4" borderId="0" xfId="4" applyNumberFormat="1" applyFont="1" applyFill="1" applyAlignment="1">
      <alignment horizontal="right"/>
    </xf>
    <xf numFmtId="0" fontId="25" fillId="4" borderId="0" xfId="4" applyFont="1" applyFill="1" applyAlignment="1">
      <alignment horizontal="center"/>
    </xf>
    <xf numFmtId="4" fontId="25" fillId="4" borderId="0" xfId="4" applyNumberFormat="1" applyFont="1" applyFill="1" applyAlignment="1">
      <alignment horizontal="right"/>
    </xf>
    <xf numFmtId="0" fontId="25" fillId="4" borderId="0" xfId="0" applyFont="1" applyFill="1"/>
    <xf numFmtId="49" fontId="28" fillId="4" borderId="5" xfId="4" applyNumberFormat="1" applyFont="1" applyFill="1" applyBorder="1" applyAlignment="1">
      <alignment horizontal="left"/>
    </xf>
    <xf numFmtId="49" fontId="24" fillId="4" borderId="6" xfId="4" applyNumberFormat="1" applyFont="1" applyFill="1" applyBorder="1" applyAlignment="1">
      <alignment horizontal="left"/>
    </xf>
    <xf numFmtId="0" fontId="26" fillId="8" borderId="7" xfId="0" applyFont="1" applyFill="1" applyBorder="1"/>
    <xf numFmtId="0" fontId="28" fillId="4" borderId="5" xfId="4" applyFont="1" applyFill="1" applyBorder="1" applyAlignment="1">
      <alignment horizontal="left"/>
    </xf>
    <xf numFmtId="0" fontId="27" fillId="4" borderId="12" xfId="0" applyFont="1" applyFill="1" applyBorder="1"/>
    <xf numFmtId="164" fontId="27" fillId="4" borderId="12" xfId="4" applyNumberFormat="1" applyFont="1" applyFill="1" applyBorder="1"/>
    <xf numFmtId="0" fontId="24" fillId="4" borderId="6" xfId="4" applyFont="1" applyFill="1" applyBorder="1" applyAlignment="1">
      <alignment horizontal="left"/>
    </xf>
    <xf numFmtId="0" fontId="26" fillId="8" borderId="0" xfId="0" applyFont="1" applyFill="1"/>
    <xf numFmtId="0" fontId="26" fillId="0" borderId="0" xfId="0" applyFont="1"/>
    <xf numFmtId="49" fontId="28" fillId="0" borderId="7" xfId="4" applyNumberFormat="1" applyFont="1" applyBorder="1" applyAlignment="1">
      <alignment horizontal="left"/>
    </xf>
    <xf numFmtId="49" fontId="28" fillId="0" borderId="0" xfId="4" applyNumberFormat="1" applyFont="1" applyAlignment="1">
      <alignment horizontal="left"/>
    </xf>
    <xf numFmtId="2" fontId="25" fillId="0" borderId="0" xfId="4" applyNumberFormat="1" applyFont="1" applyAlignment="1">
      <alignment horizontal="right"/>
    </xf>
    <xf numFmtId="0" fontId="25" fillId="0" borderId="0" xfId="4" applyFont="1" applyAlignment="1">
      <alignment horizontal="center"/>
    </xf>
    <xf numFmtId="4" fontId="25" fillId="0" borderId="0" xfId="4" applyNumberFormat="1" applyFont="1" applyAlignment="1">
      <alignment horizontal="right"/>
    </xf>
    <xf numFmtId="44" fontId="25" fillId="0" borderId="0" xfId="2" applyFont="1" applyFill="1" applyBorder="1" applyAlignment="1" applyProtection="1">
      <alignment horizontal="right"/>
    </xf>
    <xf numFmtId="0" fontId="26" fillId="0" borderId="7" xfId="0" applyFont="1" applyBorder="1"/>
    <xf numFmtId="4" fontId="17" fillId="0" borderId="8" xfId="4" applyNumberFormat="1" applyFont="1" applyBorder="1" applyAlignment="1">
      <alignment horizontal="left"/>
    </xf>
    <xf numFmtId="2" fontId="17" fillId="0" borderId="7" xfId="4" applyNumberFormat="1" applyFont="1" applyBorder="1" applyAlignment="1">
      <alignment horizontal="left"/>
    </xf>
    <xf numFmtId="2" fontId="18" fillId="0" borderId="8" xfId="4" applyNumberFormat="1" applyFont="1" applyBorder="1" applyAlignment="1">
      <alignment horizontal="left"/>
    </xf>
    <xf numFmtId="14" fontId="20" fillId="0" borderId="0" xfId="0" applyNumberFormat="1" applyFont="1"/>
    <xf numFmtId="49" fontId="18" fillId="0" borderId="7" xfId="4" applyNumberFormat="1" applyFont="1" applyBorder="1" applyAlignment="1">
      <alignment horizontal="left"/>
    </xf>
    <xf numFmtId="2" fontId="29" fillId="0" borderId="0" xfId="4" applyNumberFormat="1" applyFont="1" applyAlignment="1">
      <alignment horizontal="right"/>
    </xf>
    <xf numFmtId="0" fontId="30" fillId="0" borderId="0" xfId="4" applyFont="1" applyAlignment="1">
      <alignment horizontal="center"/>
    </xf>
    <xf numFmtId="4" fontId="10" fillId="0" borderId="0" xfId="4" applyNumberFormat="1" applyAlignment="1">
      <alignment horizontal="right"/>
    </xf>
    <xf numFmtId="44" fontId="10" fillId="0" borderId="0" xfId="2" applyFont="1" applyBorder="1" applyAlignment="1" applyProtection="1">
      <alignment horizontal="right"/>
    </xf>
    <xf numFmtId="16" fontId="20" fillId="0" borderId="0" xfId="0" applyNumberFormat="1" applyFont="1"/>
    <xf numFmtId="44" fontId="17" fillId="0" borderId="0" xfId="2" applyFont="1" applyBorder="1" applyAlignment="1" applyProtection="1">
      <alignment horizontal="right"/>
    </xf>
    <xf numFmtId="49" fontId="17" fillId="0" borderId="7" xfId="4" applyNumberFormat="1" applyFont="1" applyBorder="1" applyAlignment="1">
      <alignment horizontal="left"/>
    </xf>
    <xf numFmtId="49" fontId="17" fillId="0" borderId="0" xfId="4" applyNumberFormat="1" applyFont="1" applyAlignment="1">
      <alignment horizontal="left"/>
    </xf>
    <xf numFmtId="2" fontId="18" fillId="0" borderId="0" xfId="4" applyNumberFormat="1" applyFont="1" applyAlignment="1">
      <alignment horizontal="right"/>
    </xf>
    <xf numFmtId="4" fontId="17" fillId="0" borderId="0" xfId="4" applyNumberFormat="1" applyFont="1" applyAlignment="1">
      <alignment horizontal="right"/>
    </xf>
    <xf numFmtId="44" fontId="18" fillId="0" borderId="0" xfId="2" applyFont="1" applyBorder="1" applyAlignment="1" applyProtection="1">
      <alignment horizontal="right"/>
    </xf>
    <xf numFmtId="0" fontId="20" fillId="0" borderId="7" xfId="0" applyFont="1" applyBorder="1"/>
    <xf numFmtId="49" fontId="18" fillId="0" borderId="9" xfId="4" applyNumberFormat="1" applyFont="1" applyBorder="1"/>
    <xf numFmtId="44" fontId="17" fillId="0" borderId="8" xfId="2" applyFont="1" applyBorder="1" applyAlignment="1" applyProtection="1">
      <alignment horizontal="right"/>
    </xf>
    <xf numFmtId="0" fontId="20" fillId="8" borderId="7" xfId="0" applyFont="1" applyFill="1" applyBorder="1"/>
    <xf numFmtId="2" fontId="18" fillId="0" borderId="7" xfId="4" applyNumberFormat="1" applyFont="1" applyBorder="1" applyAlignment="1">
      <alignment horizontal="left"/>
    </xf>
    <xf numFmtId="0" fontId="26" fillId="0" borderId="10" xfId="0" applyFont="1" applyBorder="1"/>
    <xf numFmtId="0" fontId="20" fillId="8" borderId="0" xfId="0" applyFont="1" applyFill="1"/>
    <xf numFmtId="0" fontId="17" fillId="2" borderId="12" xfId="4" applyFont="1" applyFill="1" applyBorder="1"/>
    <xf numFmtId="49" fontId="17" fillId="2" borderId="2" xfId="0" applyNumberFormat="1" applyFont="1" applyFill="1" applyBorder="1" applyAlignment="1">
      <alignment horizontal="left" wrapText="1"/>
    </xf>
    <xf numFmtId="44" fontId="18" fillId="2" borderId="11" xfId="2" applyFont="1" applyFill="1" applyBorder="1" applyAlignment="1" applyProtection="1">
      <alignment horizontal="right"/>
    </xf>
    <xf numFmtId="49" fontId="17" fillId="2" borderId="4" xfId="0" applyNumberFormat="1" applyFont="1" applyFill="1" applyBorder="1" applyAlignment="1">
      <alignment horizontal="left" wrapText="1"/>
    </xf>
    <xf numFmtId="168" fontId="20" fillId="0" borderId="13" xfId="0" applyNumberFormat="1" applyFont="1" applyBorder="1" applyAlignment="1">
      <alignment horizontal="right"/>
    </xf>
    <xf numFmtId="49" fontId="20" fillId="0" borderId="13" xfId="0" applyNumberFormat="1" applyFont="1" applyBorder="1" applyAlignment="1">
      <alignment horizontal="center"/>
    </xf>
    <xf numFmtId="168" fontId="20" fillId="0" borderId="15" xfId="2" applyNumberFormat="1" applyFont="1" applyFill="1" applyBorder="1" applyAlignment="1" applyProtection="1">
      <alignment horizontal="right"/>
    </xf>
    <xf numFmtId="49" fontId="20" fillId="0" borderId="26" xfId="0" applyNumberFormat="1" applyFont="1" applyBorder="1"/>
    <xf numFmtId="49" fontId="20" fillId="0" borderId="20" xfId="0" applyNumberFormat="1" applyFont="1" applyBorder="1"/>
    <xf numFmtId="168" fontId="20" fillId="2" borderId="18" xfId="1" applyNumberFormat="1" applyFont="1" applyFill="1" applyBorder="1" applyAlignment="1" applyProtection="1">
      <alignment horizontal="right"/>
    </xf>
    <xf numFmtId="49" fontId="20" fillId="2" borderId="18" xfId="0" applyNumberFormat="1" applyFont="1" applyFill="1" applyBorder="1" applyAlignment="1">
      <alignment horizontal="left"/>
    </xf>
    <xf numFmtId="168" fontId="20" fillId="2" borderId="18" xfId="2" applyNumberFormat="1" applyFont="1" applyFill="1" applyBorder="1" applyAlignment="1" applyProtection="1">
      <alignment horizontal="right"/>
    </xf>
    <xf numFmtId="0" fontId="20" fillId="2" borderId="20" xfId="0" applyFont="1" applyFill="1" applyBorder="1"/>
    <xf numFmtId="0" fontId="33" fillId="2" borderId="20" xfId="0" applyFont="1" applyFill="1" applyBorder="1"/>
    <xf numFmtId="49" fontId="18" fillId="2" borderId="18" xfId="0" applyNumberFormat="1" applyFont="1" applyFill="1" applyBorder="1"/>
    <xf numFmtId="49" fontId="33" fillId="2" borderId="20" xfId="0" applyNumberFormat="1" applyFont="1" applyFill="1" applyBorder="1"/>
    <xf numFmtId="168" fontId="20" fillId="0" borderId="18" xfId="1" applyNumberFormat="1" applyFont="1" applyFill="1" applyBorder="1" applyAlignment="1" applyProtection="1">
      <alignment horizontal="right"/>
    </xf>
    <xf numFmtId="49" fontId="20" fillId="0" borderId="18" xfId="0" applyNumberFormat="1" applyFont="1" applyBorder="1" applyAlignment="1">
      <alignment horizontal="left"/>
    </xf>
    <xf numFmtId="168" fontId="20" fillId="0" borderId="18" xfId="2" applyNumberFormat="1" applyFont="1" applyFill="1" applyBorder="1" applyAlignment="1" applyProtection="1">
      <alignment horizontal="right"/>
    </xf>
    <xf numFmtId="49" fontId="18" fillId="0" borderId="18" xfId="0" applyNumberFormat="1" applyFont="1" applyBorder="1"/>
    <xf numFmtId="0" fontId="20" fillId="0" borderId="20" xfId="0" applyFont="1" applyBorder="1"/>
    <xf numFmtId="0" fontId="20" fillId="8" borderId="3" xfId="0" applyFont="1" applyFill="1" applyBorder="1"/>
    <xf numFmtId="168" fontId="20" fillId="5" borderId="18" xfId="1" applyNumberFormat="1" applyFont="1" applyFill="1" applyBorder="1" applyAlignment="1" applyProtection="1">
      <alignment horizontal="right"/>
    </xf>
    <xf numFmtId="49" fontId="20" fillId="5" borderId="18" xfId="0" applyNumberFormat="1" applyFont="1" applyFill="1" applyBorder="1" applyAlignment="1">
      <alignment horizontal="left"/>
    </xf>
    <xf numFmtId="168" fontId="20" fillId="5" borderId="18" xfId="2" applyNumberFormat="1" applyFont="1" applyFill="1" applyBorder="1" applyAlignment="1" applyProtection="1">
      <alignment horizontal="right"/>
    </xf>
    <xf numFmtId="0" fontId="18" fillId="0" borderId="20" xfId="0" applyFont="1" applyBorder="1"/>
    <xf numFmtId="168" fontId="20" fillId="0" borderId="21" xfId="1" applyNumberFormat="1" applyFont="1" applyFill="1" applyBorder="1" applyAlignment="1" applyProtection="1">
      <alignment horizontal="right"/>
    </xf>
    <xf numFmtId="49" fontId="20" fillId="0" borderId="21" xfId="0" applyNumberFormat="1" applyFont="1" applyBorder="1" applyAlignment="1">
      <alignment horizontal="left"/>
    </xf>
    <xf numFmtId="168" fontId="20" fillId="0" borderId="21" xfId="2" applyNumberFormat="1" applyFont="1" applyFill="1" applyBorder="1" applyAlignment="1" applyProtection="1">
      <alignment horizontal="right"/>
    </xf>
    <xf numFmtId="49" fontId="18" fillId="0" borderId="21" xfId="0" applyNumberFormat="1" applyFont="1" applyBorder="1"/>
    <xf numFmtId="168" fontId="20" fillId="0" borderId="23" xfId="1" applyNumberFormat="1" applyFont="1" applyFill="1" applyBorder="1" applyAlignment="1" applyProtection="1">
      <alignment horizontal="right"/>
    </xf>
    <xf numFmtId="49" fontId="20" fillId="0" borderId="23" xfId="0" applyNumberFormat="1" applyFont="1" applyBorder="1" applyAlignment="1">
      <alignment horizontal="left"/>
    </xf>
    <xf numFmtId="168" fontId="20" fillId="0" borderId="23" xfId="2" applyNumberFormat="1" applyFont="1" applyFill="1" applyBorder="1" applyAlignment="1" applyProtection="1">
      <alignment horizontal="right"/>
    </xf>
    <xf numFmtId="49" fontId="18" fillId="0" borderId="36" xfId="0" applyNumberFormat="1" applyFont="1" applyBorder="1"/>
    <xf numFmtId="0" fontId="21" fillId="0" borderId="12" xfId="0" applyFont="1" applyBorder="1"/>
    <xf numFmtId="44" fontId="20" fillId="0" borderId="12" xfId="0" applyNumberFormat="1" applyFont="1" applyBorder="1"/>
    <xf numFmtId="0" fontId="21" fillId="8" borderId="0" xfId="0" applyFont="1" applyFill="1"/>
    <xf numFmtId="0" fontId="34" fillId="4" borderId="12" xfId="0" applyFont="1" applyFill="1" applyBorder="1"/>
    <xf numFmtId="164" fontId="35" fillId="4" borderId="6" xfId="0" applyNumberFormat="1" applyFont="1" applyFill="1" applyBorder="1"/>
    <xf numFmtId="49" fontId="20" fillId="2" borderId="7" xfId="0" applyNumberFormat="1" applyFont="1" applyFill="1" applyBorder="1"/>
    <xf numFmtId="0" fontId="20" fillId="2" borderId="0" xfId="0" applyFont="1" applyFill="1"/>
    <xf numFmtId="44" fontId="20" fillId="2" borderId="8" xfId="0" applyNumberFormat="1" applyFont="1" applyFill="1" applyBorder="1"/>
    <xf numFmtId="10" fontId="20" fillId="0" borderId="8" xfId="0" applyNumberFormat="1" applyFont="1" applyBorder="1"/>
    <xf numFmtId="44" fontId="20" fillId="0" borderId="8" xfId="0" applyNumberFormat="1" applyFont="1" applyBorder="1"/>
    <xf numFmtId="0" fontId="20" fillId="0" borderId="8" xfId="0" applyFont="1" applyBorder="1"/>
    <xf numFmtId="0" fontId="20" fillId="0" borderId="9" xfId="0" applyFont="1" applyBorder="1"/>
    <xf numFmtId="0" fontId="20" fillId="0" borderId="11" xfId="0" applyFont="1" applyBorder="1"/>
    <xf numFmtId="44" fontId="20" fillId="0" borderId="10" xfId="0" applyNumberFormat="1" applyFont="1" applyBorder="1"/>
    <xf numFmtId="49" fontId="1" fillId="0" borderId="22" xfId="0" applyNumberFormat="1" applyFont="1" applyBorder="1" applyAlignment="1">
      <alignment horizontal="left" vertical="top" wrapText="1"/>
    </xf>
    <xf numFmtId="49" fontId="1" fillId="0" borderId="20" xfId="0" applyNumberFormat="1" applyFont="1" applyBorder="1" applyAlignment="1">
      <alignment horizontal="left" vertical="top" wrapText="1"/>
    </xf>
    <xf numFmtId="49" fontId="1" fillId="0" borderId="25" xfId="0" applyNumberFormat="1" applyFont="1" applyBorder="1" applyAlignment="1">
      <alignment vertical="top" wrapText="1"/>
    </xf>
    <xf numFmtId="49" fontId="1" fillId="0" borderId="25" xfId="0" applyNumberFormat="1" applyFont="1" applyBorder="1" applyAlignment="1">
      <alignment horizontal="left" vertical="top" wrapText="1"/>
    </xf>
    <xf numFmtId="49" fontId="1" fillId="0" borderId="3" xfId="0" applyNumberFormat="1" applyFont="1" applyBorder="1" applyAlignment="1">
      <alignment horizontal="left"/>
    </xf>
    <xf numFmtId="1" fontId="1" fillId="0" borderId="25" xfId="0" applyNumberFormat="1" applyFont="1" applyBorder="1" applyAlignment="1">
      <alignment horizontal="center" vertical="top"/>
    </xf>
    <xf numFmtId="49" fontId="1" fillId="0" borderId="3" xfId="0" applyNumberFormat="1" applyFont="1" applyBorder="1" applyAlignment="1">
      <alignment horizontal="left" vertical="top" wrapText="1"/>
    </xf>
    <xf numFmtId="49" fontId="14" fillId="0" borderId="25" xfId="0" applyNumberFormat="1" applyFont="1" applyBorder="1" applyAlignment="1">
      <alignment horizontal="left" vertical="top" wrapText="1"/>
    </xf>
    <xf numFmtId="49" fontId="14" fillId="0" borderId="3" xfId="0" applyNumberFormat="1" applyFont="1" applyBorder="1" applyAlignment="1">
      <alignment horizontal="left" vertical="top" wrapText="1"/>
    </xf>
    <xf numFmtId="49" fontId="1" fillId="0" borderId="22" xfId="0" applyNumberFormat="1" applyFont="1" applyBorder="1" applyAlignment="1">
      <alignment horizontal="left"/>
    </xf>
    <xf numFmtId="0" fontId="40" fillId="3" borderId="8" xfId="0" applyFont="1" applyFill="1" applyBorder="1" applyAlignment="1">
      <alignment horizontal="left" vertical="top" wrapText="1"/>
    </xf>
    <xf numFmtId="49" fontId="1" fillId="0" borderId="20" xfId="0" applyNumberFormat="1" applyFont="1" applyBorder="1" applyAlignment="1">
      <alignment vertical="top" wrapText="1"/>
    </xf>
    <xf numFmtId="49" fontId="3" fillId="0" borderId="22" xfId="0" applyNumberFormat="1" applyFont="1" applyBorder="1" applyAlignment="1">
      <alignment horizontal="left" vertical="top"/>
    </xf>
    <xf numFmtId="0" fontId="1" fillId="0" borderId="25" xfId="0" applyFont="1" applyBorder="1" applyAlignment="1">
      <alignment horizontal="left" vertical="top" wrapText="1"/>
    </xf>
    <xf numFmtId="49" fontId="1" fillId="0" borderId="22" xfId="0" applyNumberFormat="1" applyFont="1" applyBorder="1" applyAlignment="1">
      <alignment horizontal="left" wrapText="1"/>
    </xf>
    <xf numFmtId="49" fontId="32" fillId="2" borderId="5" xfId="0" applyNumberFormat="1" applyFont="1" applyFill="1" applyBorder="1" applyAlignment="1">
      <alignment horizontal="left" wrapText="1"/>
    </xf>
    <xf numFmtId="49" fontId="32" fillId="2" borderId="6" xfId="0" applyNumberFormat="1" applyFont="1" applyFill="1" applyBorder="1" applyAlignment="1">
      <alignment horizontal="left" wrapText="1"/>
    </xf>
    <xf numFmtId="49" fontId="32" fillId="2" borderId="9" xfId="0" applyNumberFormat="1" applyFont="1" applyFill="1" applyBorder="1" applyAlignment="1">
      <alignment horizontal="left" wrapText="1"/>
    </xf>
    <xf numFmtId="49" fontId="32" fillId="2" borderId="10" xfId="0" applyNumberFormat="1" applyFont="1" applyFill="1" applyBorder="1" applyAlignment="1">
      <alignment horizontal="left" wrapText="1"/>
    </xf>
    <xf numFmtId="49" fontId="38" fillId="0" borderId="14" xfId="0" applyNumberFormat="1" applyFont="1" applyBorder="1" applyAlignment="1">
      <alignment horizontal="left" wrapText="1"/>
    </xf>
    <xf numFmtId="49" fontId="38" fillId="0" borderId="15" xfId="0" applyNumberFormat="1" applyFont="1" applyBorder="1" applyAlignment="1">
      <alignment horizontal="left" wrapText="1"/>
    </xf>
    <xf numFmtId="49" fontId="38" fillId="0" borderId="16" xfId="0" applyNumberFormat="1" applyFont="1" applyBorder="1" applyAlignment="1">
      <alignment horizontal="left" wrapText="1"/>
    </xf>
    <xf numFmtId="0" fontId="15" fillId="0" borderId="0" xfId="0" applyFont="1" applyAlignment="1">
      <alignment horizontal="center" vertical="center"/>
    </xf>
  </cellXfs>
  <cellStyles count="6">
    <cellStyle name="Hyperlink" xfId="5" builtinId="8"/>
    <cellStyle name="Komma" xfId="1" builtinId="3"/>
    <cellStyle name="Komma 2" xfId="3" xr:uid="{696459D8-D998-4E1F-BB6F-0B33AAB0DF6F}"/>
    <cellStyle name="Standaard" xfId="0" builtinId="0"/>
    <cellStyle name="Standaard 2" xfId="4" xr:uid="{D6B4FAB1-0752-4A66-BCFF-F6FCFA13F291}"/>
    <cellStyle name="Valuta" xfId="2" builtinId="4"/>
  </cellStyles>
  <dxfs count="95">
    <dxf>
      <font>
        <color rgb="FFFF0000"/>
      </font>
    </dxf>
    <dxf>
      <font>
        <color rgb="FFFF0000"/>
      </font>
    </dxf>
    <dxf>
      <font>
        <color rgb="FF00B050"/>
      </font>
    </dxf>
    <dxf>
      <font>
        <color rgb="FF00B050"/>
      </font>
    </dxf>
    <dxf>
      <font>
        <color auto="1"/>
      </font>
      <fill>
        <patternFill>
          <bgColor rgb="FFFFC000"/>
        </patternFill>
      </fill>
    </dxf>
    <dxf>
      <font>
        <color auto="1"/>
      </font>
      <fill>
        <patternFill>
          <bgColor rgb="FFFFFF00"/>
        </patternFill>
      </fill>
    </dxf>
    <dxf>
      <font>
        <color rgb="FFFF0000"/>
      </font>
    </dxf>
    <dxf>
      <font>
        <color rgb="FFFF0000"/>
      </font>
    </dxf>
    <dxf>
      <font>
        <color rgb="FF00B050"/>
      </font>
    </dxf>
    <dxf>
      <font>
        <color rgb="FF00B050"/>
      </font>
    </dxf>
    <dxf>
      <font>
        <color auto="1"/>
      </font>
      <fill>
        <patternFill>
          <bgColor rgb="FFFFFF00"/>
        </patternFill>
      </fill>
    </dxf>
    <dxf>
      <font>
        <color rgb="FFFF0000"/>
      </font>
    </dxf>
    <dxf>
      <font>
        <color rgb="FFFF0000"/>
      </font>
    </dxf>
    <dxf>
      <font>
        <color rgb="FF00B050"/>
      </font>
    </dxf>
    <dxf>
      <font>
        <color rgb="FF00B050"/>
      </font>
    </dxf>
    <dxf>
      <font>
        <color auto="1"/>
      </font>
      <fill>
        <patternFill>
          <bgColor rgb="FFFFC000"/>
        </patternFill>
      </fill>
    </dxf>
    <dxf>
      <font>
        <color auto="1"/>
      </font>
      <fill>
        <patternFill>
          <bgColor rgb="FFFFFF00"/>
        </patternFill>
      </fill>
    </dxf>
    <dxf>
      <font>
        <color rgb="FFFF0000"/>
      </font>
    </dxf>
    <dxf>
      <font>
        <color rgb="FFFF0000"/>
      </font>
    </dxf>
    <dxf>
      <font>
        <color rgb="FF00B050"/>
      </font>
    </dxf>
    <dxf>
      <font>
        <color rgb="FF00B050"/>
      </font>
    </dxf>
    <dxf>
      <font>
        <color auto="1"/>
      </font>
      <fill>
        <patternFill>
          <bgColor rgb="FFFFFF00"/>
        </patternFill>
      </fill>
    </dxf>
    <dxf>
      <font>
        <color rgb="FFFF0000"/>
      </font>
    </dxf>
    <dxf>
      <font>
        <color rgb="FFFF0000"/>
      </font>
    </dxf>
    <dxf>
      <font>
        <color rgb="FF00B050"/>
      </font>
    </dxf>
    <dxf>
      <font>
        <color rgb="FF00B050"/>
      </font>
    </dxf>
    <dxf>
      <font>
        <color auto="1"/>
      </font>
      <fill>
        <patternFill>
          <bgColor rgb="FFFFC000"/>
        </patternFill>
      </fill>
    </dxf>
    <dxf>
      <font>
        <color auto="1"/>
      </font>
      <fill>
        <patternFill>
          <bgColor rgb="FFFFFF00"/>
        </patternFill>
      </fill>
    </dxf>
    <dxf>
      <font>
        <color rgb="FFFF0000"/>
      </font>
    </dxf>
    <dxf>
      <font>
        <color rgb="FFFF0000"/>
      </font>
    </dxf>
    <dxf>
      <font>
        <color rgb="FF00B050"/>
      </font>
    </dxf>
    <dxf>
      <font>
        <color rgb="FF00B050"/>
      </font>
    </dxf>
    <dxf>
      <font>
        <color auto="1"/>
      </font>
      <fill>
        <patternFill>
          <bgColor rgb="FFFFFF00"/>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color theme="0" tint="-4.9989318521683403E-2"/>
      </font>
      <fill>
        <patternFill>
          <fgColor auto="1"/>
        </patternFill>
      </fill>
    </dxf>
    <dxf>
      <font>
        <b val="0"/>
        <i val="0"/>
        <strike val="0"/>
        <condense val="0"/>
        <extend val="0"/>
        <outline val="0"/>
        <shadow val="0"/>
        <u val="none"/>
        <vertAlign val="baseline"/>
        <sz val="8"/>
        <color theme="1"/>
        <name val="Calibri"/>
        <family val="2"/>
        <scheme val="minor"/>
      </font>
      <numFmt numFmtId="30" formatCode="@"/>
      <alignment horizontal="left" vertical="top" textRotation="0" wrapText="1" indent="0" justifyLastLine="0" shrinkToFit="0" readingOrder="0"/>
      <border diagonalUp="0" diagonalDown="0">
        <left style="thin">
          <color indexed="64"/>
        </left>
        <right style="thin">
          <color indexed="64"/>
        </right>
        <top/>
        <bottom style="hair">
          <color indexed="64"/>
        </bottom>
        <vertical/>
        <horizontal/>
      </border>
    </dxf>
    <dxf>
      <font>
        <b val="0"/>
        <i val="0"/>
        <strike val="0"/>
        <condense val="0"/>
        <extend val="0"/>
        <outline val="0"/>
        <shadow val="0"/>
        <u val="none"/>
        <vertAlign val="baseline"/>
        <sz val="8"/>
        <color theme="1"/>
        <name val="Calibri"/>
        <family val="2"/>
        <scheme val="minor"/>
      </font>
      <numFmt numFmtId="1" formatCode="0"/>
      <alignment horizontal="center" vertical="top" textRotation="0" wrapText="0" indent="0" justifyLastLine="0" shrinkToFit="0" readingOrder="0"/>
      <border diagonalUp="0" diagonalDown="0" outline="0">
        <left style="thin">
          <color indexed="64"/>
        </left>
        <right style="thin">
          <color indexed="64"/>
        </right>
        <top/>
        <bottom style="hair">
          <color indexed="64"/>
        </bottom>
      </border>
    </dxf>
    <dxf>
      <font>
        <sz val="8"/>
      </font>
      <numFmt numFmtId="30" formatCode="@"/>
      <alignment horizontal="general" vertical="top" textRotation="0" wrapText="1" indent="0" justifyLastLine="0" shrinkToFit="0" readingOrder="0"/>
      <border diagonalUp="0" diagonalDown="0">
        <left style="thin">
          <color indexed="64"/>
        </left>
        <right style="thin">
          <color indexed="64"/>
        </right>
        <top/>
        <bottom style="hair">
          <color indexed="64"/>
        </bottom>
        <vertical/>
        <horizontal/>
      </border>
    </dxf>
    <dxf>
      <font>
        <sz val="8"/>
      </font>
      <numFmt numFmtId="30" formatCode="@"/>
      <alignment horizontal="general" vertical="top" textRotation="0" wrapText="1" indent="0" justifyLastLine="0" shrinkToFit="0" readingOrder="0"/>
      <border diagonalUp="0" diagonalDown="0">
        <left style="thin">
          <color indexed="64"/>
        </left>
        <right style="thin">
          <color indexed="64"/>
        </right>
        <top/>
        <bottom style="hair">
          <color indexed="64"/>
        </bottom>
        <vertical/>
        <horizontal/>
      </border>
    </dxf>
    <dxf>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wrapText="0" indent="0" justifyLastLine="0" shrinkToFit="0" readingOrder="0"/>
    </dxf>
    <dxf>
      <alignment horizontal="left" vertical="top" textRotation="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dxf>
    <dxf>
      <fill>
        <patternFill patternType="solid">
          <fgColor theme="6" tint="0.79998168889431442"/>
          <bgColor theme="6" tint="0.79998168889431442"/>
        </patternFill>
      </fill>
    </dxf>
    <dxf>
      <fill>
        <patternFill patternType="solid">
          <fgColor theme="6" tint="0.79998168889431442"/>
          <bgColor theme="6" tint="0.79998168889431442"/>
        </patternFill>
      </fill>
    </dxf>
    <dxf>
      <font>
        <b/>
        <color theme="1"/>
      </font>
    </dxf>
    <dxf>
      <font>
        <b/>
        <color theme="1"/>
      </font>
    </dxf>
    <dxf>
      <font>
        <b/>
        <color theme="1"/>
      </font>
      <border>
        <top style="double">
          <color theme="6"/>
        </top>
      </border>
    </dxf>
    <dxf>
      <font>
        <b/>
        <color theme="1"/>
      </font>
      <border>
        <bottom style="medium">
          <color theme="6"/>
        </bottom>
      </border>
    </dxf>
    <dxf>
      <font>
        <color theme="1"/>
      </font>
      <border>
        <left style="thin">
          <color theme="6"/>
        </left>
        <right style="thin">
          <color theme="6"/>
        </right>
        <top style="thin">
          <color theme="6"/>
        </top>
        <bottom style="thin">
          <color theme="6"/>
        </bottom>
        <vertical style="thin">
          <color theme="6"/>
        </vertical>
        <horizontal style="thin">
          <color theme="6"/>
        </horizontal>
      </border>
    </dxf>
    <dxf>
      <fill>
        <patternFill patternType="solid">
          <fgColor theme="6" tint="0.79998168889431442"/>
          <bgColor theme="6" tint="0.79998168889431442"/>
        </patternFill>
      </fill>
    </dxf>
    <dxf>
      <fill>
        <patternFill patternType="solid">
          <fgColor theme="6" tint="0.79998168889431442"/>
          <bgColor theme="6" tint="0.79998168889431442"/>
        </patternFill>
      </fill>
    </dxf>
    <dxf>
      <font>
        <b/>
        <color theme="1"/>
      </font>
    </dxf>
    <dxf>
      <font>
        <b/>
        <color theme="1"/>
      </font>
    </dxf>
    <dxf>
      <font>
        <b/>
        <color theme="1"/>
      </font>
      <border>
        <top style="double">
          <color theme="6"/>
        </top>
      </border>
    </dxf>
    <dxf>
      <font>
        <b/>
        <color theme="1"/>
      </font>
      <border>
        <bottom style="medium">
          <color theme="6"/>
        </bottom>
      </border>
    </dxf>
    <dxf>
      <font>
        <color theme="1"/>
      </font>
      <border diagonalUp="0" diagonalDown="0">
        <left/>
        <right/>
        <top/>
        <bottom/>
        <vertical style="thin">
          <color theme="6"/>
        </vertical>
        <horizontal style="thin">
          <color theme="6"/>
        </horizontal>
      </border>
    </dxf>
  </dxfs>
  <tableStyles count="2" defaultPivotStyle="PivotStyleLight16">
    <tableStyle name="TableStyleLight18 2" pivot="0" count="7" xr9:uid="{5F13CB39-A1A4-40AF-A331-37E359CC2E9F}">
      <tableStyleElement type="wholeTable" dxfId="94"/>
      <tableStyleElement type="headerRow" dxfId="93"/>
      <tableStyleElement type="totalRow" dxfId="92"/>
      <tableStyleElement type="firstColumn" dxfId="91"/>
      <tableStyleElement type="lastColumn" dxfId="90"/>
      <tableStyleElement type="firstRowStripe" dxfId="89"/>
      <tableStyleElement type="firstColumnStripe" dxfId="88"/>
    </tableStyle>
    <tableStyle name="TableStyleLight18 3" pivot="0" count="7" xr9:uid="{DCDC7EAC-BACE-4E92-89C7-147BB43CDAE0}">
      <tableStyleElement type="wholeTable" dxfId="87"/>
      <tableStyleElement type="headerRow" dxfId="86"/>
      <tableStyleElement type="totalRow" dxfId="85"/>
      <tableStyleElement type="firstColumn" dxfId="84"/>
      <tableStyleElement type="lastColumn" dxfId="83"/>
      <tableStyleElement type="firstRowStripe" dxfId="82"/>
      <tableStyleElement type="firstColumnStripe" dxfId="81"/>
    </tableStyle>
  </tableStyles>
  <colors>
    <mruColors>
      <color rgb="FFFF8B8B"/>
      <color rgb="FFFFB9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36634</xdr:colOff>
      <xdr:row>0</xdr:row>
      <xdr:rowOff>34977</xdr:rowOff>
    </xdr:from>
    <xdr:to>
      <xdr:col>0</xdr:col>
      <xdr:colOff>4645025</xdr:colOff>
      <xdr:row>33</xdr:row>
      <xdr:rowOff>41618</xdr:rowOff>
    </xdr:to>
    <mc:AlternateContent xmlns:mc="http://schemas.openxmlformats.org/markup-compatibility/2006" xmlns:sle15="http://schemas.microsoft.com/office/drawing/2012/slicer">
      <mc:Choice Requires="sle15">
        <xdr:graphicFrame macro="">
          <xdr:nvGraphicFramePr>
            <xdr:cNvPr id="2" name="Kolom2">
              <a:extLst>
                <a:ext uri="{FF2B5EF4-FFF2-40B4-BE49-F238E27FC236}">
                  <a16:creationId xmlns:a16="http://schemas.microsoft.com/office/drawing/2014/main" id="{0500E701-7693-3785-7F55-8359FAD6C49F}"/>
                </a:ext>
              </a:extLst>
            </xdr:cNvPr>
            <xdr:cNvGraphicFramePr/>
          </xdr:nvGraphicFramePr>
          <xdr:xfrm>
            <a:off x="0" y="0"/>
            <a:ext cx="0" cy="0"/>
          </xdr:xfrm>
          <a:graphic>
            <a:graphicData uri="http://schemas.microsoft.com/office/drawing/2010/slicer">
              <sle:slicer xmlns:sle="http://schemas.microsoft.com/office/drawing/2010/slicer" name="Kolom2"/>
            </a:graphicData>
          </a:graphic>
        </xdr:graphicFrame>
      </mc:Choice>
      <mc:Fallback xmlns="">
        <xdr:sp macro="" textlink="">
          <xdr:nvSpPr>
            <xdr:cNvPr id="0" name=""/>
            <xdr:cNvSpPr>
              <a:spLocks noTextEdit="1"/>
            </xdr:cNvSpPr>
          </xdr:nvSpPr>
          <xdr:spPr>
            <a:xfrm>
              <a:off x="36634" y="33706"/>
              <a:ext cx="4602041" cy="5471744"/>
            </a:xfrm>
            <a:prstGeom prst="rect">
              <a:avLst/>
            </a:prstGeom>
            <a:solidFill>
              <a:prstClr val="white"/>
            </a:solidFill>
            <a:ln w="1">
              <a:solidFill>
                <a:prstClr val="green"/>
              </a:solidFill>
            </a:ln>
          </xdr:spPr>
          <xdr:txBody>
            <a:bodyPr vertOverflow="clip" horzOverflow="clip"/>
            <a:lstStyle/>
            <a:p>
              <a:r>
                <a:rPr lang="nl-NL" sz="1100"/>
                <a:t>Deze vorm vertegenwoordigt een tabelslicer. Tabelslicers worden niet ondersteund in deze versie van Excel.
De slicer kan niet worden gebruikt als de vorm is gewijzigd in een eerdere versie van Excel of als de werkmap is opgeslagen in Excel 2007 of eerder.</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3950769</xdr:colOff>
      <xdr:row>1</xdr:row>
      <xdr:rowOff>66674</xdr:rowOff>
    </xdr:from>
    <xdr:to>
      <xdr:col>7</xdr:col>
      <xdr:colOff>5515080</xdr:colOff>
      <xdr:row>6</xdr:row>
      <xdr:rowOff>9525</xdr:rowOff>
    </xdr:to>
    <xdr:pic>
      <xdr:nvPicPr>
        <xdr:cNvPr id="3" name="Afbeelding 2">
          <a:extLst>
            <a:ext uri="{FF2B5EF4-FFF2-40B4-BE49-F238E27FC236}">
              <a16:creationId xmlns:a16="http://schemas.microsoft.com/office/drawing/2014/main" id="{6A27E82B-A939-D8B7-42F5-7620F05081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31744" y="247649"/>
          <a:ext cx="1564311" cy="8477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3950769</xdr:colOff>
      <xdr:row>1</xdr:row>
      <xdr:rowOff>66674</xdr:rowOff>
    </xdr:from>
    <xdr:to>
      <xdr:col>7</xdr:col>
      <xdr:colOff>5515080</xdr:colOff>
      <xdr:row>6</xdr:row>
      <xdr:rowOff>9525</xdr:rowOff>
    </xdr:to>
    <xdr:pic>
      <xdr:nvPicPr>
        <xdr:cNvPr id="2" name="Afbeelding 1">
          <a:extLst>
            <a:ext uri="{FF2B5EF4-FFF2-40B4-BE49-F238E27FC236}">
              <a16:creationId xmlns:a16="http://schemas.microsoft.com/office/drawing/2014/main" id="{C27AE9C7-2268-4CCE-9460-B93AC16752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85044" y="247649"/>
          <a:ext cx="1564311" cy="8477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3950769</xdr:colOff>
      <xdr:row>1</xdr:row>
      <xdr:rowOff>66674</xdr:rowOff>
    </xdr:from>
    <xdr:to>
      <xdr:col>7</xdr:col>
      <xdr:colOff>5515080</xdr:colOff>
      <xdr:row>6</xdr:row>
      <xdr:rowOff>9525</xdr:rowOff>
    </xdr:to>
    <xdr:pic>
      <xdr:nvPicPr>
        <xdr:cNvPr id="2" name="Afbeelding 1">
          <a:extLst>
            <a:ext uri="{FF2B5EF4-FFF2-40B4-BE49-F238E27FC236}">
              <a16:creationId xmlns:a16="http://schemas.microsoft.com/office/drawing/2014/main" id="{16B46354-2F8C-4742-B0EE-7E01DFC255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85044" y="247649"/>
          <a:ext cx="1564311" cy="847726"/>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lom2" xr10:uid="{095E5469-6FEF-4CD3-982A-C5B74673AEA5}" sourceName="Kolom2">
  <extLst>
    <x:ext xmlns:x15="http://schemas.microsoft.com/office/spreadsheetml/2010/11/main" uri="{2F2917AC-EB37-4324-AD4E-5DD8C200BD13}">
      <x15:tableSlicerCache tableId="5"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olom2" xr10:uid="{D3FBECE8-7FAA-4FDE-9B98-D9FD5159B1D1}" cache="Slicer_Kolom2"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720554-7979-4FFA-A465-DF1C5E4A2D83}" name="Tabel1" displayName="Tabel1" ref="B5:D33" totalsRowShown="0" headerRowDxfId="80" dataDxfId="79">
  <autoFilter ref="B5:D33" xr:uid="{37720554-7979-4FFA-A465-DF1C5E4A2D83}">
    <filterColumn colId="0" hiddenButton="1"/>
    <filterColumn colId="1" hiddenButton="1"/>
    <filterColumn colId="2" hiddenButton="1"/>
  </autoFilter>
  <tableColumns count="3">
    <tableColumn id="1" xr3:uid="{D4942897-8F60-4DDC-AF38-CDEC2BDDA1CC}" name="Datum" dataDxfId="78"/>
    <tableColumn id="2" xr3:uid="{6060F3C8-913D-4BAD-822E-39D1B279238C}" name="Versienummer" dataDxfId="77"/>
    <tableColumn id="3" xr3:uid="{D78A7A54-FFAF-4679-B864-EE5F8A48BDB8}" name="Omschijving" dataDxfId="76"/>
  </tableColumns>
  <tableStyleInfo name="TableStyleLight18 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499B29E-5490-4634-8F5D-64307334B91D}" name="Tabel5" displayName="Tabel5" ref="C3:F373" totalsRowShown="0">
  <autoFilter ref="C3:F373" xr:uid="{C499B29E-5490-4634-8F5D-64307334B91D}"/>
  <tableColumns count="4">
    <tableColumn id="1" xr3:uid="{0479C56E-32A0-4773-A3B7-DAC012B29FA7}" name="Kolom1" dataDxfId="75"/>
    <tableColumn id="2" xr3:uid="{01E63D22-FCB9-47D1-ADDF-6F09CE690C12}" name="Kolom2" dataDxfId="74"/>
    <tableColumn id="3" xr3:uid="{4AB70234-6DE3-490F-A134-3B9650C5420D}" name="Kolom3" dataDxfId="73"/>
    <tableColumn id="4" xr3:uid="{416C1744-5A96-442E-9529-E8739BBD8371}" name="Kolom4" dataDxfId="72"/>
  </tableColumns>
  <tableStyleInfo name="TableStyleLight11" showFirstColumn="0" showLastColumn="0" showRowStripes="1" showColumnStripes="0"/>
</table>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AD117-7B9E-4C3E-A021-F5B0A7CF6D6F}">
  <sheetPr codeName="Blad1"/>
  <dimension ref="A1:E50"/>
  <sheetViews>
    <sheetView showGridLines="0" workbookViewId="0">
      <selection activeCell="D23" sqref="D23"/>
    </sheetView>
  </sheetViews>
  <sheetFormatPr defaultColWidth="0" defaultRowHeight="14.4" x14ac:dyDescent="0.3"/>
  <cols>
    <col min="1" max="1" width="4.33203125" customWidth="1"/>
    <col min="2" max="2" width="12.33203125" customWidth="1"/>
    <col min="3" max="3" width="16.44140625" customWidth="1"/>
    <col min="4" max="4" width="120.6640625" customWidth="1"/>
    <col min="5" max="5" width="9.109375" customWidth="1"/>
    <col min="6" max="16384" width="9.109375" hidden="1"/>
  </cols>
  <sheetData>
    <row r="1" spans="2:4" x14ac:dyDescent="0.3">
      <c r="B1" s="6" t="s">
        <v>39</v>
      </c>
    </row>
    <row r="5" spans="2:4" x14ac:dyDescent="0.3">
      <c r="B5" s="1" t="s">
        <v>0</v>
      </c>
      <c r="C5" s="1" t="s">
        <v>2</v>
      </c>
      <c r="D5" s="1" t="s">
        <v>1</v>
      </c>
    </row>
    <row r="6" spans="2:4" x14ac:dyDescent="0.3">
      <c r="B6" s="35" t="s">
        <v>303</v>
      </c>
      <c r="C6" s="8" t="s">
        <v>3</v>
      </c>
      <c r="D6" s="7" t="s">
        <v>302</v>
      </c>
    </row>
    <row r="7" spans="2:4" x14ac:dyDescent="0.3">
      <c r="B7" s="35" t="s">
        <v>304</v>
      </c>
      <c r="C7" s="8" t="s">
        <v>298</v>
      </c>
      <c r="D7" s="7" t="s">
        <v>301</v>
      </c>
    </row>
    <row r="8" spans="2:4" x14ac:dyDescent="0.3">
      <c r="B8" s="35" t="s">
        <v>305</v>
      </c>
      <c r="C8" s="8" t="s">
        <v>300</v>
      </c>
      <c r="D8" s="7" t="s">
        <v>299</v>
      </c>
    </row>
    <row r="9" spans="2:4" x14ac:dyDescent="0.3">
      <c r="B9" s="35" t="s">
        <v>374</v>
      </c>
      <c r="C9" s="8" t="s">
        <v>375</v>
      </c>
      <c r="D9" s="7" t="s">
        <v>376</v>
      </c>
    </row>
    <row r="10" spans="2:4" x14ac:dyDescent="0.3">
      <c r="B10" s="35" t="s">
        <v>380</v>
      </c>
      <c r="C10" s="8" t="s">
        <v>379</v>
      </c>
      <c r="D10" s="7" t="s">
        <v>381</v>
      </c>
    </row>
    <row r="11" spans="2:4" x14ac:dyDescent="0.3">
      <c r="B11" s="35" t="s">
        <v>395</v>
      </c>
      <c r="C11" s="8" t="s">
        <v>393</v>
      </c>
      <c r="D11" s="7" t="s">
        <v>396</v>
      </c>
    </row>
    <row r="12" spans="2:4" x14ac:dyDescent="0.3">
      <c r="B12" s="35" t="s">
        <v>560</v>
      </c>
      <c r="C12" s="8" t="s">
        <v>561</v>
      </c>
      <c r="D12" s="7" t="s">
        <v>562</v>
      </c>
    </row>
    <row r="13" spans="2:4" x14ac:dyDescent="0.3">
      <c r="B13" s="35"/>
      <c r="C13" s="8"/>
      <c r="D13" s="7"/>
    </row>
    <row r="14" spans="2:4" x14ac:dyDescent="0.3">
      <c r="B14" s="35"/>
      <c r="C14" s="8"/>
      <c r="D14" s="7"/>
    </row>
    <row r="15" spans="2:4" x14ac:dyDescent="0.3">
      <c r="B15" s="35"/>
      <c r="C15" s="8"/>
      <c r="D15" s="7"/>
    </row>
    <row r="16" spans="2:4" x14ac:dyDescent="0.3">
      <c r="B16" s="35"/>
      <c r="C16" s="8"/>
      <c r="D16" s="7"/>
    </row>
    <row r="17" spans="2:4" x14ac:dyDescent="0.3">
      <c r="B17" s="35"/>
      <c r="C17" s="8"/>
      <c r="D17" s="7"/>
    </row>
    <row r="18" spans="2:4" x14ac:dyDescent="0.3">
      <c r="B18" s="35"/>
      <c r="C18" s="8"/>
      <c r="D18" s="7"/>
    </row>
    <row r="19" spans="2:4" x14ac:dyDescent="0.3">
      <c r="B19" s="35"/>
      <c r="C19" s="8"/>
      <c r="D19" s="7"/>
    </row>
    <row r="20" spans="2:4" x14ac:dyDescent="0.3">
      <c r="B20" s="35"/>
      <c r="C20" s="8"/>
      <c r="D20" s="7"/>
    </row>
    <row r="21" spans="2:4" x14ac:dyDescent="0.3">
      <c r="B21" s="35"/>
      <c r="C21" s="8"/>
      <c r="D21" s="7"/>
    </row>
    <row r="22" spans="2:4" x14ac:dyDescent="0.3">
      <c r="B22" s="35"/>
      <c r="C22" s="8"/>
      <c r="D22" s="7"/>
    </row>
    <row r="23" spans="2:4" x14ac:dyDescent="0.3">
      <c r="B23" s="35"/>
      <c r="C23" s="8"/>
      <c r="D23" s="7"/>
    </row>
    <row r="24" spans="2:4" x14ac:dyDescent="0.3">
      <c r="B24" s="35"/>
      <c r="C24" s="8"/>
      <c r="D24" s="7"/>
    </row>
    <row r="25" spans="2:4" x14ac:dyDescent="0.3">
      <c r="B25" s="35"/>
      <c r="C25" s="8"/>
      <c r="D25" s="7"/>
    </row>
    <row r="26" spans="2:4" x14ac:dyDescent="0.3">
      <c r="B26" s="35"/>
      <c r="C26" s="8"/>
      <c r="D26" s="7"/>
    </row>
    <row r="27" spans="2:4" x14ac:dyDescent="0.3">
      <c r="B27" s="35"/>
      <c r="C27" s="8"/>
      <c r="D27" s="7"/>
    </row>
    <row r="28" spans="2:4" x14ac:dyDescent="0.3">
      <c r="B28" s="35"/>
      <c r="C28" s="8"/>
      <c r="D28" s="7"/>
    </row>
    <row r="29" spans="2:4" x14ac:dyDescent="0.3">
      <c r="B29" s="35"/>
      <c r="C29" s="8"/>
      <c r="D29" s="7"/>
    </row>
    <row r="30" spans="2:4" x14ac:dyDescent="0.3">
      <c r="B30" s="35"/>
      <c r="C30" s="8"/>
      <c r="D30" s="7"/>
    </row>
    <row r="31" spans="2:4" x14ac:dyDescent="0.3">
      <c r="B31" s="35"/>
      <c r="C31" s="8"/>
      <c r="D31" s="7"/>
    </row>
    <row r="32" spans="2:4" x14ac:dyDescent="0.3">
      <c r="B32" s="35"/>
      <c r="C32" s="8"/>
      <c r="D32" s="7"/>
    </row>
    <row r="33" spans="2:4" x14ac:dyDescent="0.3">
      <c r="B33" s="35"/>
      <c r="C33" s="8"/>
      <c r="D33" s="7"/>
    </row>
    <row r="34" spans="2:4" x14ac:dyDescent="0.3">
      <c r="B34" s="35"/>
    </row>
    <row r="35" spans="2:4" x14ac:dyDescent="0.3">
      <c r="B35" s="35"/>
    </row>
    <row r="36" spans="2:4" x14ac:dyDescent="0.3">
      <c r="B36" s="35"/>
    </row>
    <row r="37" spans="2:4" x14ac:dyDescent="0.3">
      <c r="B37" s="35"/>
    </row>
    <row r="38" spans="2:4" x14ac:dyDescent="0.3">
      <c r="B38" s="35"/>
    </row>
    <row r="39" spans="2:4" x14ac:dyDescent="0.3">
      <c r="B39" s="35"/>
    </row>
    <row r="40" spans="2:4" x14ac:dyDescent="0.3">
      <c r="B40" s="35"/>
    </row>
    <row r="41" spans="2:4" x14ac:dyDescent="0.3">
      <c r="B41" s="35"/>
    </row>
    <row r="42" spans="2:4" x14ac:dyDescent="0.3">
      <c r="B42" s="35"/>
    </row>
    <row r="43" spans="2:4" x14ac:dyDescent="0.3">
      <c r="B43" s="35"/>
    </row>
    <row r="44" spans="2:4" x14ac:dyDescent="0.3">
      <c r="B44" s="35"/>
    </row>
    <row r="45" spans="2:4" x14ac:dyDescent="0.3">
      <c r="B45" s="35"/>
    </row>
    <row r="46" spans="2:4" x14ac:dyDescent="0.3">
      <c r="B46" s="35"/>
    </row>
    <row r="47" spans="2:4" x14ac:dyDescent="0.3">
      <c r="B47" s="35"/>
    </row>
    <row r="48" spans="2:4" x14ac:dyDescent="0.3">
      <c r="B48" s="35"/>
    </row>
    <row r="49" spans="2:2" x14ac:dyDescent="0.3">
      <c r="B49" s="35"/>
    </row>
    <row r="50" spans="2:2" x14ac:dyDescent="0.3">
      <c r="B50" s="35"/>
    </row>
  </sheetData>
  <phoneticPr fontId="12"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06BC5-2DD2-474C-9CEE-CCBD41F0C14B}">
  <sheetPr codeName="Blad3">
    <pageSetUpPr fitToPage="1"/>
  </sheetPr>
  <dimension ref="A1:I373"/>
  <sheetViews>
    <sheetView showGridLines="0" zoomScale="130" zoomScaleNormal="130" zoomScaleSheetLayoutView="130" workbookViewId="0">
      <pane xSplit="1" topLeftCell="B1" activePane="topRight" state="frozen"/>
      <selection activeCell="H22" sqref="H22"/>
      <selection pane="topRight" activeCell="C7" sqref="C7:F8"/>
    </sheetView>
  </sheetViews>
  <sheetFormatPr defaultColWidth="0" defaultRowHeight="14.4" outlineLevelCol="1" x14ac:dyDescent="0.3"/>
  <cols>
    <col min="1" max="1" width="70.6640625" style="29" customWidth="1"/>
    <col min="2" max="2" width="6" customWidth="1"/>
    <col min="3" max="3" width="3.44140625" style="5" customWidth="1" outlineLevel="1"/>
    <col min="4" max="4" width="30.109375" customWidth="1" outlineLevel="1"/>
    <col min="5" max="5" width="5.5546875" style="22" customWidth="1"/>
    <col min="6" max="6" width="107.5546875" customWidth="1"/>
    <col min="7" max="7" width="6.33203125" customWidth="1"/>
    <col min="8" max="8" width="9.109375" style="30" customWidth="1"/>
    <col min="9" max="9" width="8.6640625" style="30" hidden="1" customWidth="1"/>
    <col min="10" max="16384" width="9.109375" style="30" hidden="1"/>
  </cols>
  <sheetData>
    <row r="1" spans="2:7" ht="29.25" customHeight="1" x14ac:dyDescent="0.3">
      <c r="B1" s="242" t="s">
        <v>291</v>
      </c>
      <c r="C1" s="242"/>
      <c r="D1" s="242"/>
      <c r="E1" s="242"/>
      <c r="F1" s="242"/>
      <c r="G1" s="242"/>
    </row>
    <row r="2" spans="2:7" x14ac:dyDescent="0.3">
      <c r="C2" s="2" t="s">
        <v>4</v>
      </c>
      <c r="D2" s="2" t="s">
        <v>31</v>
      </c>
      <c r="E2" s="31" t="s">
        <v>4</v>
      </c>
      <c r="F2" s="32" t="s">
        <v>5</v>
      </c>
    </row>
    <row r="3" spans="2:7" hidden="1" x14ac:dyDescent="0.3">
      <c r="C3" s="20" t="s">
        <v>287</v>
      </c>
      <c r="D3" s="4" t="s">
        <v>288</v>
      </c>
      <c r="E3" s="23" t="s">
        <v>289</v>
      </c>
      <c r="F3" s="3" t="s">
        <v>290</v>
      </c>
    </row>
    <row r="4" spans="2:7" ht="15" customHeight="1" x14ac:dyDescent="0.3">
      <c r="C4" s="21">
        <v>1</v>
      </c>
      <c r="D4" s="11" t="s">
        <v>116</v>
      </c>
      <c r="E4" s="24"/>
      <c r="F4" s="12" t="s">
        <v>116</v>
      </c>
    </row>
    <row r="5" spans="2:7" ht="20.399999999999999" x14ac:dyDescent="0.3">
      <c r="C5" s="233">
        <v>2</v>
      </c>
      <c r="D5" s="11" t="s">
        <v>116</v>
      </c>
      <c r="E5" s="25">
        <v>1</v>
      </c>
      <c r="F5" s="11" t="s">
        <v>118</v>
      </c>
    </row>
    <row r="6" spans="2:7" ht="30.6" x14ac:dyDescent="0.3">
      <c r="C6" s="11">
        <v>3</v>
      </c>
      <c r="D6" s="11" t="s">
        <v>116</v>
      </c>
      <c r="E6" s="25">
        <v>2</v>
      </c>
      <c r="F6" s="231" t="s">
        <v>478</v>
      </c>
    </row>
    <row r="7" spans="2:7" x14ac:dyDescent="0.3">
      <c r="C7" s="21">
        <v>4</v>
      </c>
      <c r="D7" s="11" t="s">
        <v>117</v>
      </c>
      <c r="E7" s="26"/>
      <c r="F7" s="12" t="s">
        <v>117</v>
      </c>
    </row>
    <row r="8" spans="2:7" ht="20.399999999999999" x14ac:dyDescent="0.3">
      <c r="C8" s="233">
        <v>5</v>
      </c>
      <c r="D8" s="11" t="s">
        <v>117</v>
      </c>
      <c r="E8" s="25">
        <v>1</v>
      </c>
      <c r="F8" s="222" t="s">
        <v>477</v>
      </c>
    </row>
    <row r="9" spans="2:7" x14ac:dyDescent="0.3">
      <c r="C9" s="11">
        <v>6</v>
      </c>
      <c r="D9" s="11" t="s">
        <v>117</v>
      </c>
      <c r="E9" s="25">
        <v>2</v>
      </c>
      <c r="F9" s="222" t="s">
        <v>476</v>
      </c>
    </row>
    <row r="10" spans="2:7" x14ac:dyDescent="0.3">
      <c r="C10" s="21">
        <v>7</v>
      </c>
      <c r="D10" s="11" t="s">
        <v>117</v>
      </c>
      <c r="E10" s="225">
        <v>3</v>
      </c>
      <c r="F10" s="223" t="s">
        <v>475</v>
      </c>
    </row>
    <row r="11" spans="2:7" x14ac:dyDescent="0.3">
      <c r="C11" s="233">
        <v>8</v>
      </c>
      <c r="D11" s="11" t="s">
        <v>117</v>
      </c>
      <c r="E11" s="225">
        <v>4</v>
      </c>
      <c r="F11" s="226" t="s">
        <v>470</v>
      </c>
    </row>
    <row r="12" spans="2:7" x14ac:dyDescent="0.3">
      <c r="C12" s="11">
        <v>9</v>
      </c>
      <c r="D12" s="11" t="s">
        <v>117</v>
      </c>
      <c r="E12" s="225">
        <v>5</v>
      </c>
      <c r="F12" s="223" t="s">
        <v>471</v>
      </c>
    </row>
    <row r="13" spans="2:7" x14ac:dyDescent="0.3">
      <c r="C13" s="21">
        <v>10</v>
      </c>
      <c r="D13" s="11" t="s">
        <v>117</v>
      </c>
      <c r="E13" s="225">
        <v>6</v>
      </c>
      <c r="F13" s="226" t="s">
        <v>474</v>
      </c>
    </row>
    <row r="14" spans="2:7" x14ac:dyDescent="0.3">
      <c r="C14" s="233">
        <v>11</v>
      </c>
      <c r="D14" s="11" t="s">
        <v>117</v>
      </c>
      <c r="E14" s="225">
        <v>7</v>
      </c>
      <c r="F14" s="223" t="s">
        <v>473</v>
      </c>
    </row>
    <row r="15" spans="2:7" x14ac:dyDescent="0.3">
      <c r="C15" s="11">
        <v>12</v>
      </c>
      <c r="D15" s="11" t="s">
        <v>117</v>
      </c>
      <c r="E15" s="225">
        <v>8</v>
      </c>
      <c r="F15" s="223" t="s">
        <v>481</v>
      </c>
    </row>
    <row r="16" spans="2:7" x14ac:dyDescent="0.3">
      <c r="C16" s="21">
        <v>13</v>
      </c>
      <c r="D16" s="222" t="s">
        <v>479</v>
      </c>
      <c r="E16" s="26"/>
      <c r="F16" s="230" t="s">
        <v>479</v>
      </c>
    </row>
    <row r="17" spans="3:6" x14ac:dyDescent="0.3">
      <c r="C17" s="233">
        <v>14</v>
      </c>
      <c r="D17" s="222" t="s">
        <v>479</v>
      </c>
      <c r="E17" s="25">
        <v>1</v>
      </c>
      <c r="F17" s="222" t="s">
        <v>480</v>
      </c>
    </row>
    <row r="18" spans="3:6" x14ac:dyDescent="0.3">
      <c r="C18" s="11">
        <v>15</v>
      </c>
      <c r="D18" s="222" t="s">
        <v>479</v>
      </c>
      <c r="E18" s="225">
        <v>2</v>
      </c>
      <c r="F18" s="223" t="s">
        <v>457</v>
      </c>
    </row>
    <row r="19" spans="3:6" x14ac:dyDescent="0.3">
      <c r="C19" s="21">
        <v>16</v>
      </c>
      <c r="D19" s="11" t="s">
        <v>119</v>
      </c>
      <c r="E19" s="27"/>
      <c r="F19" s="12" t="s">
        <v>119</v>
      </c>
    </row>
    <row r="20" spans="3:6" x14ac:dyDescent="0.3">
      <c r="C20" s="233">
        <v>17</v>
      </c>
      <c r="D20" s="11" t="s">
        <v>119</v>
      </c>
      <c r="E20" s="25">
        <v>1</v>
      </c>
      <c r="F20" s="13" t="s">
        <v>120</v>
      </c>
    </row>
    <row r="21" spans="3:6" x14ac:dyDescent="0.3">
      <c r="C21" s="11">
        <v>18</v>
      </c>
      <c r="D21" s="11" t="s">
        <v>119</v>
      </c>
      <c r="E21" s="25">
        <v>2</v>
      </c>
      <c r="F21" s="9" t="s">
        <v>121</v>
      </c>
    </row>
    <row r="22" spans="3:6" x14ac:dyDescent="0.3">
      <c r="C22" s="21">
        <v>19</v>
      </c>
      <c r="D22" s="11" t="s">
        <v>119</v>
      </c>
      <c r="E22" s="25">
        <v>3</v>
      </c>
      <c r="F22" s="14" t="s">
        <v>122</v>
      </c>
    </row>
    <row r="23" spans="3:6" x14ac:dyDescent="0.3">
      <c r="C23" s="233">
        <v>20</v>
      </c>
      <c r="D23" s="11" t="s">
        <v>119</v>
      </c>
      <c r="E23" s="25">
        <v>4</v>
      </c>
      <c r="F23" s="14" t="s">
        <v>123</v>
      </c>
    </row>
    <row r="24" spans="3:6" x14ac:dyDescent="0.3">
      <c r="C24" s="11">
        <v>21</v>
      </c>
      <c r="D24" s="11" t="s">
        <v>119</v>
      </c>
      <c r="E24" s="25">
        <v>5</v>
      </c>
      <c r="F24" s="14" t="s">
        <v>124</v>
      </c>
    </row>
    <row r="25" spans="3:6" x14ac:dyDescent="0.3">
      <c r="C25" s="21">
        <v>22</v>
      </c>
      <c r="D25" s="11" t="s">
        <v>119</v>
      </c>
      <c r="E25" s="25">
        <v>6</v>
      </c>
      <c r="F25" s="14" t="s">
        <v>125</v>
      </c>
    </row>
    <row r="26" spans="3:6" x14ac:dyDescent="0.3">
      <c r="C26" s="233">
        <v>23</v>
      </c>
      <c r="D26" s="11" t="s">
        <v>119</v>
      </c>
      <c r="E26" s="25">
        <v>7</v>
      </c>
      <c r="F26" s="14" t="s">
        <v>126</v>
      </c>
    </row>
    <row r="27" spans="3:6" x14ac:dyDescent="0.3">
      <c r="C27" s="11">
        <v>24</v>
      </c>
      <c r="D27" s="11" t="s">
        <v>127</v>
      </c>
      <c r="E27" s="27"/>
      <c r="F27" s="12" t="s">
        <v>127</v>
      </c>
    </row>
    <row r="28" spans="3:6" x14ac:dyDescent="0.3">
      <c r="C28" s="21">
        <v>25</v>
      </c>
      <c r="D28" s="11" t="s">
        <v>127</v>
      </c>
      <c r="E28" s="25">
        <v>1</v>
      </c>
      <c r="F28" s="13" t="s">
        <v>128</v>
      </c>
    </row>
    <row r="29" spans="3:6" x14ac:dyDescent="0.3">
      <c r="C29" s="233">
        <v>26</v>
      </c>
      <c r="D29" s="11" t="s">
        <v>127</v>
      </c>
      <c r="E29" s="25">
        <v>2</v>
      </c>
      <c r="F29" s="9" t="s">
        <v>129</v>
      </c>
    </row>
    <row r="30" spans="3:6" ht="20.399999999999999" x14ac:dyDescent="0.3">
      <c r="C30" s="11">
        <v>27</v>
      </c>
      <c r="D30" s="11" t="s">
        <v>127</v>
      </c>
      <c r="E30" s="25">
        <v>3</v>
      </c>
      <c r="F30" s="223" t="s">
        <v>432</v>
      </c>
    </row>
    <row r="31" spans="3:6" x14ac:dyDescent="0.3">
      <c r="C31" s="21">
        <v>28</v>
      </c>
      <c r="D31" s="11" t="s">
        <v>127</v>
      </c>
      <c r="E31" s="25">
        <v>4</v>
      </c>
      <c r="F31" s="223" t="s">
        <v>433</v>
      </c>
    </row>
    <row r="32" spans="3:6" x14ac:dyDescent="0.3">
      <c r="C32" s="233">
        <v>29</v>
      </c>
      <c r="D32" s="11" t="s">
        <v>127</v>
      </c>
      <c r="E32" s="25">
        <v>5</v>
      </c>
      <c r="F32" s="221" t="s">
        <v>434</v>
      </c>
    </row>
    <row r="33" spans="3:6" x14ac:dyDescent="0.3">
      <c r="C33" s="11">
        <v>30</v>
      </c>
      <c r="D33" s="11" t="s">
        <v>130</v>
      </c>
      <c r="E33" s="27"/>
      <c r="F33" s="12" t="s">
        <v>130</v>
      </c>
    </row>
    <row r="34" spans="3:6" x14ac:dyDescent="0.3">
      <c r="C34" s="21">
        <v>31</v>
      </c>
      <c r="D34" s="11" t="s">
        <v>130</v>
      </c>
      <c r="E34" s="25">
        <v>1</v>
      </c>
      <c r="F34" s="13" t="s">
        <v>131</v>
      </c>
    </row>
    <row r="35" spans="3:6" x14ac:dyDescent="0.3">
      <c r="C35" s="233">
        <v>32</v>
      </c>
      <c r="D35" s="11" t="s">
        <v>130</v>
      </c>
      <c r="E35" s="25">
        <v>2</v>
      </c>
      <c r="F35" s="9" t="s">
        <v>132</v>
      </c>
    </row>
    <row r="36" spans="3:6" x14ac:dyDescent="0.3">
      <c r="C36" s="11">
        <v>33</v>
      </c>
      <c r="D36" s="11" t="s">
        <v>130</v>
      </c>
      <c r="E36" s="25">
        <v>3</v>
      </c>
      <c r="F36" s="229" t="s">
        <v>454</v>
      </c>
    </row>
    <row r="37" spans="3:6" x14ac:dyDescent="0.3">
      <c r="C37" s="21">
        <v>34</v>
      </c>
      <c r="D37" s="11" t="s">
        <v>130</v>
      </c>
      <c r="E37" s="25">
        <v>4</v>
      </c>
      <c r="F37" s="13" t="s">
        <v>133</v>
      </c>
    </row>
    <row r="38" spans="3:6" x14ac:dyDescent="0.3">
      <c r="C38" s="233">
        <v>35</v>
      </c>
      <c r="D38" s="11" t="s">
        <v>130</v>
      </c>
      <c r="E38" s="25">
        <v>5</v>
      </c>
      <c r="F38" s="9" t="s">
        <v>134</v>
      </c>
    </row>
    <row r="39" spans="3:6" x14ac:dyDescent="0.3">
      <c r="C39" s="11">
        <v>36</v>
      </c>
      <c r="D39" s="11" t="s">
        <v>130</v>
      </c>
      <c r="E39" s="25">
        <v>6</v>
      </c>
      <c r="F39" s="14" t="s">
        <v>135</v>
      </c>
    </row>
    <row r="40" spans="3:6" x14ac:dyDescent="0.3">
      <c r="C40" s="21">
        <v>37</v>
      </c>
      <c r="D40" s="11" t="s">
        <v>130</v>
      </c>
      <c r="E40" s="25">
        <v>7</v>
      </c>
      <c r="F40" s="14" t="s">
        <v>136</v>
      </c>
    </row>
    <row r="41" spans="3:6" x14ac:dyDescent="0.3">
      <c r="C41" s="233">
        <v>38</v>
      </c>
      <c r="D41" s="11" t="s">
        <v>130</v>
      </c>
      <c r="E41" s="25">
        <v>8</v>
      </c>
      <c r="F41" s="14" t="s">
        <v>137</v>
      </c>
    </row>
    <row r="42" spans="3:6" x14ac:dyDescent="0.3">
      <c r="C42" s="11">
        <v>39</v>
      </c>
      <c r="D42" s="11" t="s">
        <v>130</v>
      </c>
      <c r="E42" s="25">
        <v>9</v>
      </c>
      <c r="F42" s="229" t="s">
        <v>453</v>
      </c>
    </row>
    <row r="43" spans="3:6" x14ac:dyDescent="0.3">
      <c r="C43" s="21">
        <v>40</v>
      </c>
      <c r="D43" s="11" t="s">
        <v>130</v>
      </c>
      <c r="E43" s="25">
        <v>10</v>
      </c>
      <c r="F43" s="13" t="s">
        <v>138</v>
      </c>
    </row>
    <row r="44" spans="3:6" x14ac:dyDescent="0.3">
      <c r="C44" s="233">
        <v>41</v>
      </c>
      <c r="D44" s="11" t="s">
        <v>130</v>
      </c>
      <c r="E44" s="25">
        <v>11</v>
      </c>
      <c r="F44" s="221" t="s">
        <v>452</v>
      </c>
    </row>
    <row r="45" spans="3:6" x14ac:dyDescent="0.3">
      <c r="C45" s="11">
        <v>42</v>
      </c>
      <c r="D45" s="11" t="s">
        <v>130</v>
      </c>
      <c r="E45" s="25">
        <v>12</v>
      </c>
      <c r="F45" s="221" t="s">
        <v>451</v>
      </c>
    </row>
    <row r="46" spans="3:6" x14ac:dyDescent="0.3">
      <c r="C46" s="21">
        <v>43</v>
      </c>
      <c r="D46" s="11" t="s">
        <v>130</v>
      </c>
      <c r="E46" s="225">
        <v>13</v>
      </c>
      <c r="F46" s="226" t="s">
        <v>449</v>
      </c>
    </row>
    <row r="47" spans="3:6" x14ac:dyDescent="0.3">
      <c r="C47" s="233">
        <v>44</v>
      </c>
      <c r="D47" s="11" t="s">
        <v>130</v>
      </c>
      <c r="E47" s="25">
        <v>14</v>
      </c>
      <c r="F47" s="226" t="s">
        <v>455</v>
      </c>
    </row>
    <row r="48" spans="3:6" x14ac:dyDescent="0.3">
      <c r="C48" s="11">
        <v>45</v>
      </c>
      <c r="D48" s="11" t="s">
        <v>130</v>
      </c>
      <c r="E48" s="25">
        <v>15</v>
      </c>
      <c r="F48" s="223" t="s">
        <v>456</v>
      </c>
    </row>
    <row r="49" spans="3:6" x14ac:dyDescent="0.3">
      <c r="C49" s="21">
        <v>46</v>
      </c>
      <c r="D49" s="11" t="s">
        <v>130</v>
      </c>
      <c r="E49" s="25">
        <v>16</v>
      </c>
      <c r="F49" s="223" t="s">
        <v>450</v>
      </c>
    </row>
    <row r="50" spans="3:6" x14ac:dyDescent="0.3">
      <c r="C50" s="233">
        <v>47</v>
      </c>
      <c r="D50" s="11" t="s">
        <v>139</v>
      </c>
      <c r="E50" s="27"/>
      <c r="F50" s="12" t="s">
        <v>139</v>
      </c>
    </row>
    <row r="51" spans="3:6" x14ac:dyDescent="0.3">
      <c r="C51" s="11">
        <v>48</v>
      </c>
      <c r="D51" s="11" t="s">
        <v>139</v>
      </c>
      <c r="E51" s="25">
        <v>1</v>
      </c>
      <c r="F51" s="13" t="s">
        <v>140</v>
      </c>
    </row>
    <row r="52" spans="3:6" x14ac:dyDescent="0.3">
      <c r="C52" s="21">
        <v>49</v>
      </c>
      <c r="D52" s="11" t="s">
        <v>139</v>
      </c>
      <c r="E52" s="25">
        <v>2</v>
      </c>
      <c r="F52" s="9" t="s">
        <v>141</v>
      </c>
    </row>
    <row r="53" spans="3:6" x14ac:dyDescent="0.3">
      <c r="C53" s="233">
        <v>50</v>
      </c>
      <c r="D53" s="11" t="s">
        <v>139</v>
      </c>
      <c r="E53" s="25">
        <v>3</v>
      </c>
      <c r="F53" s="232" t="s">
        <v>142</v>
      </c>
    </row>
    <row r="54" spans="3:6" x14ac:dyDescent="0.3">
      <c r="C54" s="11">
        <v>51</v>
      </c>
      <c r="D54" s="11" t="s">
        <v>139</v>
      </c>
      <c r="E54" s="25">
        <v>4</v>
      </c>
      <c r="F54" s="223" t="s">
        <v>482</v>
      </c>
    </row>
    <row r="55" spans="3:6" x14ac:dyDescent="0.3">
      <c r="C55" s="21">
        <v>52</v>
      </c>
      <c r="D55" s="222" t="s">
        <v>472</v>
      </c>
      <c r="E55" s="27"/>
      <c r="F55" s="230" t="s">
        <v>472</v>
      </c>
    </row>
    <row r="56" spans="3:6" x14ac:dyDescent="0.3">
      <c r="C56" s="233">
        <v>53</v>
      </c>
      <c r="D56" s="222" t="s">
        <v>472</v>
      </c>
      <c r="E56" s="225">
        <v>1</v>
      </c>
      <c r="F56" s="226" t="s">
        <v>448</v>
      </c>
    </row>
    <row r="57" spans="3:6" x14ac:dyDescent="0.3">
      <c r="C57" s="11">
        <v>54</v>
      </c>
      <c r="D57" s="222" t="s">
        <v>472</v>
      </c>
      <c r="E57" s="225">
        <v>2</v>
      </c>
      <c r="F57" s="226" t="s">
        <v>483</v>
      </c>
    </row>
    <row r="58" spans="3:6" x14ac:dyDescent="0.3">
      <c r="C58" s="21">
        <v>55</v>
      </c>
      <c r="D58" s="222" t="s">
        <v>472</v>
      </c>
      <c r="E58" s="225">
        <v>3</v>
      </c>
      <c r="F58" s="226" t="s">
        <v>484</v>
      </c>
    </row>
    <row r="59" spans="3:6" x14ac:dyDescent="0.3">
      <c r="C59" s="233">
        <v>56</v>
      </c>
      <c r="D59" s="222" t="s">
        <v>472</v>
      </c>
      <c r="E59" s="225">
        <v>4</v>
      </c>
      <c r="F59" s="223" t="s">
        <v>485</v>
      </c>
    </row>
    <row r="60" spans="3:6" x14ac:dyDescent="0.3">
      <c r="C60" s="11">
        <v>57</v>
      </c>
      <c r="D60" s="11" t="s">
        <v>143</v>
      </c>
      <c r="E60" s="27"/>
      <c r="F60" s="12" t="s">
        <v>143</v>
      </c>
    </row>
    <row r="61" spans="3:6" x14ac:dyDescent="0.3">
      <c r="C61" s="21">
        <v>58</v>
      </c>
      <c r="D61" s="11" t="s">
        <v>143</v>
      </c>
      <c r="E61" s="25">
        <v>1</v>
      </c>
      <c r="F61" s="13" t="s">
        <v>144</v>
      </c>
    </row>
    <row r="62" spans="3:6" x14ac:dyDescent="0.3">
      <c r="C62" s="233">
        <v>59</v>
      </c>
      <c r="D62" s="11" t="s">
        <v>143</v>
      </c>
      <c r="E62" s="25">
        <v>2</v>
      </c>
      <c r="F62" s="9" t="s">
        <v>145</v>
      </c>
    </row>
    <row r="63" spans="3:6" x14ac:dyDescent="0.3">
      <c r="C63" s="11">
        <v>60</v>
      </c>
      <c r="D63" s="11" t="s">
        <v>143</v>
      </c>
      <c r="E63" s="25">
        <v>3</v>
      </c>
      <c r="F63" s="14" t="s">
        <v>146</v>
      </c>
    </row>
    <row r="64" spans="3:6" x14ac:dyDescent="0.3">
      <c r="C64" s="21">
        <v>61</v>
      </c>
      <c r="D64" s="11" t="s">
        <v>143</v>
      </c>
      <c r="E64" s="25">
        <v>4</v>
      </c>
      <c r="F64" s="14" t="s">
        <v>147</v>
      </c>
    </row>
    <row r="65" spans="3:6" x14ac:dyDescent="0.3">
      <c r="C65" s="233">
        <v>62</v>
      </c>
      <c r="D65" s="11" t="s">
        <v>143</v>
      </c>
      <c r="E65" s="25">
        <v>5</v>
      </c>
      <c r="F65" s="14" t="s">
        <v>148</v>
      </c>
    </row>
    <row r="66" spans="3:6" x14ac:dyDescent="0.3">
      <c r="C66" s="11">
        <v>63</v>
      </c>
      <c r="D66" s="11" t="s">
        <v>143</v>
      </c>
      <c r="E66" s="25">
        <v>6</v>
      </c>
      <c r="F66" s="14" t="s">
        <v>149</v>
      </c>
    </row>
    <row r="67" spans="3:6" x14ac:dyDescent="0.3">
      <c r="C67" s="21">
        <v>64</v>
      </c>
      <c r="D67" s="11" t="s">
        <v>143</v>
      </c>
      <c r="E67" s="25">
        <v>7</v>
      </c>
      <c r="F67" s="229" t="s">
        <v>447</v>
      </c>
    </row>
    <row r="68" spans="3:6" x14ac:dyDescent="0.3">
      <c r="C68" s="233">
        <v>65</v>
      </c>
      <c r="D68" s="11" t="s">
        <v>143</v>
      </c>
      <c r="E68" s="25">
        <v>8</v>
      </c>
      <c r="F68" s="220" t="s">
        <v>446</v>
      </c>
    </row>
    <row r="69" spans="3:6" x14ac:dyDescent="0.3">
      <c r="C69" s="11">
        <v>66</v>
      </c>
      <c r="D69" s="11" t="s">
        <v>143</v>
      </c>
      <c r="E69" s="25">
        <v>9</v>
      </c>
      <c r="F69" s="220" t="s">
        <v>445</v>
      </c>
    </row>
    <row r="70" spans="3:6" x14ac:dyDescent="0.3">
      <c r="C70" s="21">
        <v>67</v>
      </c>
      <c r="D70" s="11" t="s">
        <v>143</v>
      </c>
      <c r="E70" s="225">
        <v>10</v>
      </c>
      <c r="F70" s="226" t="s">
        <v>459</v>
      </c>
    </row>
    <row r="71" spans="3:6" x14ac:dyDescent="0.3">
      <c r="C71" s="233">
        <v>68</v>
      </c>
      <c r="D71" s="11" t="s">
        <v>143</v>
      </c>
      <c r="E71" s="225">
        <v>11</v>
      </c>
      <c r="F71" s="226" t="s">
        <v>460</v>
      </c>
    </row>
    <row r="72" spans="3:6" x14ac:dyDescent="0.3">
      <c r="C72" s="11">
        <v>69</v>
      </c>
      <c r="D72" s="11" t="s">
        <v>143</v>
      </c>
      <c r="E72" s="225">
        <v>12</v>
      </c>
      <c r="F72" s="226" t="s">
        <v>461</v>
      </c>
    </row>
    <row r="73" spans="3:6" x14ac:dyDescent="0.3">
      <c r="C73" s="21">
        <v>70</v>
      </c>
      <c r="D73" s="11" t="s">
        <v>143</v>
      </c>
      <c r="E73" s="225">
        <v>13</v>
      </c>
      <c r="F73" s="226" t="s">
        <v>462</v>
      </c>
    </row>
    <row r="74" spans="3:6" x14ac:dyDescent="0.3">
      <c r="C74" s="233">
        <v>71</v>
      </c>
      <c r="D74" s="11" t="s">
        <v>143</v>
      </c>
      <c r="E74" s="225">
        <v>14</v>
      </c>
      <c r="F74" s="226" t="s">
        <v>463</v>
      </c>
    </row>
    <row r="75" spans="3:6" x14ac:dyDescent="0.3">
      <c r="C75" s="11">
        <v>72</v>
      </c>
      <c r="D75" s="11" t="s">
        <v>143</v>
      </c>
      <c r="E75" s="225">
        <v>15</v>
      </c>
      <c r="F75" s="223" t="s">
        <v>464</v>
      </c>
    </row>
    <row r="76" spans="3:6" x14ac:dyDescent="0.3">
      <c r="C76" s="21">
        <v>73</v>
      </c>
      <c r="D76" s="11" t="s">
        <v>143</v>
      </c>
      <c r="E76" s="225">
        <v>16</v>
      </c>
      <c r="F76" s="226" t="s">
        <v>486</v>
      </c>
    </row>
    <row r="77" spans="3:6" x14ac:dyDescent="0.3">
      <c r="C77" s="233">
        <v>74</v>
      </c>
      <c r="D77" s="11" t="s">
        <v>143</v>
      </c>
      <c r="E77" s="225">
        <v>17</v>
      </c>
      <c r="F77" s="226" t="s">
        <v>558</v>
      </c>
    </row>
    <row r="78" spans="3:6" x14ac:dyDescent="0.3">
      <c r="C78" s="11">
        <v>75</v>
      </c>
      <c r="D78" s="11" t="s">
        <v>150</v>
      </c>
      <c r="E78" s="27"/>
      <c r="F78" s="12" t="s">
        <v>150</v>
      </c>
    </row>
    <row r="79" spans="3:6" x14ac:dyDescent="0.3">
      <c r="C79" s="21">
        <v>76</v>
      </c>
      <c r="D79" s="11" t="s">
        <v>150</v>
      </c>
      <c r="E79" s="25">
        <v>1</v>
      </c>
      <c r="F79" s="13" t="s">
        <v>151</v>
      </c>
    </row>
    <row r="80" spans="3:6" x14ac:dyDescent="0.3">
      <c r="C80" s="233">
        <v>77</v>
      </c>
      <c r="D80" s="11" t="s">
        <v>150</v>
      </c>
      <c r="E80" s="25">
        <v>2</v>
      </c>
      <c r="F80" s="9" t="s">
        <v>152</v>
      </c>
    </row>
    <row r="81" spans="3:6" x14ac:dyDescent="0.3">
      <c r="C81" s="11">
        <v>78</v>
      </c>
      <c r="D81" s="11" t="s">
        <v>150</v>
      </c>
      <c r="E81" s="25">
        <v>3</v>
      </c>
      <c r="F81" s="227" t="s">
        <v>441</v>
      </c>
    </row>
    <row r="82" spans="3:6" x14ac:dyDescent="0.3">
      <c r="C82" s="21">
        <v>79</v>
      </c>
      <c r="D82" s="11" t="s">
        <v>150</v>
      </c>
      <c r="E82" s="25">
        <v>4</v>
      </c>
      <c r="F82" s="227" t="s">
        <v>442</v>
      </c>
    </row>
    <row r="83" spans="3:6" x14ac:dyDescent="0.3">
      <c r="C83" s="233">
        <v>80</v>
      </c>
      <c r="D83" s="11" t="s">
        <v>150</v>
      </c>
      <c r="E83" s="25">
        <v>5</v>
      </c>
      <c r="F83" s="223" t="s">
        <v>468</v>
      </c>
    </row>
    <row r="84" spans="3:6" x14ac:dyDescent="0.3">
      <c r="C84" s="11">
        <v>81</v>
      </c>
      <c r="D84" s="11" t="s">
        <v>150</v>
      </c>
      <c r="E84" s="25">
        <v>6</v>
      </c>
      <c r="F84" s="15" t="s">
        <v>153</v>
      </c>
    </row>
    <row r="85" spans="3:6" ht="20.399999999999999" x14ac:dyDescent="0.3">
      <c r="C85" s="21">
        <v>82</v>
      </c>
      <c r="D85" s="11" t="s">
        <v>150</v>
      </c>
      <c r="E85" s="25">
        <v>7</v>
      </c>
      <c r="F85" s="10" t="s">
        <v>154</v>
      </c>
    </row>
    <row r="86" spans="3:6" x14ac:dyDescent="0.3">
      <c r="C86" s="233">
        <v>83</v>
      </c>
      <c r="D86" s="11" t="s">
        <v>150</v>
      </c>
      <c r="E86" s="25">
        <v>8</v>
      </c>
      <c r="F86" s="227" t="s">
        <v>469</v>
      </c>
    </row>
    <row r="87" spans="3:6" x14ac:dyDescent="0.3">
      <c r="C87" s="11">
        <v>84</v>
      </c>
      <c r="D87" s="11" t="s">
        <v>150</v>
      </c>
      <c r="E87" s="25">
        <v>9</v>
      </c>
      <c r="F87" s="14" t="s">
        <v>155</v>
      </c>
    </row>
    <row r="88" spans="3:6" x14ac:dyDescent="0.3">
      <c r="C88" s="21">
        <v>85</v>
      </c>
      <c r="D88" s="11" t="s">
        <v>150</v>
      </c>
      <c r="E88" s="25">
        <v>10</v>
      </c>
      <c r="F88" s="14" t="s">
        <v>156</v>
      </c>
    </row>
    <row r="89" spans="3:6" x14ac:dyDescent="0.3">
      <c r="C89" s="233">
        <v>86</v>
      </c>
      <c r="D89" s="11" t="s">
        <v>150</v>
      </c>
      <c r="E89" s="25">
        <v>11</v>
      </c>
      <c r="F89" s="14" t="s">
        <v>157</v>
      </c>
    </row>
    <row r="90" spans="3:6" x14ac:dyDescent="0.3">
      <c r="C90" s="11">
        <v>87</v>
      </c>
      <c r="D90" s="11" t="s">
        <v>150</v>
      </c>
      <c r="E90" s="25">
        <v>12</v>
      </c>
      <c r="F90" s="14" t="s">
        <v>158</v>
      </c>
    </row>
    <row r="91" spans="3:6" x14ac:dyDescent="0.3">
      <c r="C91" s="21">
        <v>88</v>
      </c>
      <c r="D91" s="11" t="s">
        <v>150</v>
      </c>
      <c r="E91" s="25">
        <v>13</v>
      </c>
      <c r="F91" s="14" t="s">
        <v>159</v>
      </c>
    </row>
    <row r="92" spans="3:6" x14ac:dyDescent="0.3">
      <c r="C92" s="233">
        <v>89</v>
      </c>
      <c r="D92" s="11" t="s">
        <v>150</v>
      </c>
      <c r="E92" s="25">
        <v>14</v>
      </c>
      <c r="F92" s="14" t="s">
        <v>160</v>
      </c>
    </row>
    <row r="93" spans="3:6" x14ac:dyDescent="0.3">
      <c r="C93" s="11">
        <v>90</v>
      </c>
      <c r="D93" s="11" t="s">
        <v>150</v>
      </c>
      <c r="E93" s="25">
        <v>15</v>
      </c>
      <c r="F93" s="14" t="s">
        <v>161</v>
      </c>
    </row>
    <row r="94" spans="3:6" x14ac:dyDescent="0.3">
      <c r="C94" s="21">
        <v>91</v>
      </c>
      <c r="D94" s="11" t="s">
        <v>150</v>
      </c>
      <c r="E94" s="25">
        <v>16</v>
      </c>
      <c r="F94" s="16" t="s">
        <v>162</v>
      </c>
    </row>
    <row r="95" spans="3:6" x14ac:dyDescent="0.3">
      <c r="C95" s="233">
        <v>92</v>
      </c>
      <c r="D95" s="11" t="s">
        <v>150</v>
      </c>
      <c r="E95" s="25">
        <v>17</v>
      </c>
      <c r="F95" s="16" t="s">
        <v>163</v>
      </c>
    </row>
    <row r="96" spans="3:6" x14ac:dyDescent="0.3">
      <c r="C96" s="11">
        <v>93</v>
      </c>
      <c r="D96" s="11" t="s">
        <v>150</v>
      </c>
      <c r="E96" s="25">
        <v>18</v>
      </c>
      <c r="F96" s="16" t="s">
        <v>164</v>
      </c>
    </row>
    <row r="97" spans="3:6" x14ac:dyDescent="0.3">
      <c r="C97" s="21">
        <v>94</v>
      </c>
      <c r="D97" s="11" t="s">
        <v>150</v>
      </c>
      <c r="E97" s="25">
        <v>19</v>
      </c>
      <c r="F97" s="16" t="s">
        <v>165</v>
      </c>
    </row>
    <row r="98" spans="3:6" x14ac:dyDescent="0.3">
      <c r="C98" s="233">
        <v>95</v>
      </c>
      <c r="D98" s="11" t="s">
        <v>150</v>
      </c>
      <c r="E98" s="25">
        <v>20</v>
      </c>
      <c r="F98" s="16" t="s">
        <v>166</v>
      </c>
    </row>
    <row r="99" spans="3:6" x14ac:dyDescent="0.3">
      <c r="C99" s="11">
        <v>96</v>
      </c>
      <c r="D99" s="11" t="s">
        <v>150</v>
      </c>
      <c r="E99" s="25">
        <v>21</v>
      </c>
      <c r="F99" s="16" t="s">
        <v>167</v>
      </c>
    </row>
    <row r="100" spans="3:6" x14ac:dyDescent="0.3">
      <c r="C100" s="21">
        <v>97</v>
      </c>
      <c r="D100" s="11" t="s">
        <v>150</v>
      </c>
      <c r="E100" s="25">
        <v>23</v>
      </c>
      <c r="F100" s="16" t="s">
        <v>168</v>
      </c>
    </row>
    <row r="101" spans="3:6" x14ac:dyDescent="0.3">
      <c r="C101" s="233">
        <v>98</v>
      </c>
      <c r="D101" s="11" t="s">
        <v>150</v>
      </c>
      <c r="E101" s="25">
        <v>24</v>
      </c>
      <c r="F101" s="16" t="s">
        <v>169</v>
      </c>
    </row>
    <row r="102" spans="3:6" x14ac:dyDescent="0.3">
      <c r="C102" s="11">
        <v>99</v>
      </c>
      <c r="D102" s="11" t="s">
        <v>150</v>
      </c>
      <c r="E102" s="25">
        <v>25</v>
      </c>
      <c r="F102" s="16" t="s">
        <v>170</v>
      </c>
    </row>
    <row r="103" spans="3:6" x14ac:dyDescent="0.3">
      <c r="C103" s="21">
        <v>100</v>
      </c>
      <c r="D103" s="11" t="s">
        <v>150</v>
      </c>
      <c r="E103" s="25">
        <v>26</v>
      </c>
      <c r="F103" s="16" t="s">
        <v>171</v>
      </c>
    </row>
    <row r="104" spans="3:6" x14ac:dyDescent="0.3">
      <c r="C104" s="233">
        <v>101</v>
      </c>
      <c r="D104" s="11" t="s">
        <v>150</v>
      </c>
      <c r="E104" s="25">
        <v>27</v>
      </c>
      <c r="F104" s="16" t="s">
        <v>172</v>
      </c>
    </row>
    <row r="105" spans="3:6" x14ac:dyDescent="0.3">
      <c r="C105" s="11">
        <v>102</v>
      </c>
      <c r="D105" s="11" t="s">
        <v>150</v>
      </c>
      <c r="E105" s="25">
        <v>28</v>
      </c>
      <c r="F105" s="223" t="s">
        <v>440</v>
      </c>
    </row>
    <row r="106" spans="3:6" ht="20.399999999999999" x14ac:dyDescent="0.3">
      <c r="C106" s="21">
        <v>103</v>
      </c>
      <c r="D106" s="11" t="s">
        <v>150</v>
      </c>
      <c r="E106" s="25">
        <v>29</v>
      </c>
      <c r="F106" s="16" t="s">
        <v>173</v>
      </c>
    </row>
    <row r="107" spans="3:6" x14ac:dyDescent="0.3">
      <c r="C107" s="233">
        <v>104</v>
      </c>
      <c r="D107" s="11" t="s">
        <v>150</v>
      </c>
      <c r="E107" s="25">
        <v>30</v>
      </c>
      <c r="F107" s="228" t="s">
        <v>465</v>
      </c>
    </row>
    <row r="108" spans="3:6" x14ac:dyDescent="0.3">
      <c r="C108" s="11">
        <v>105</v>
      </c>
      <c r="D108" s="11" t="s">
        <v>150</v>
      </c>
      <c r="E108" s="25">
        <v>31</v>
      </c>
      <c r="F108" s="227" t="s">
        <v>487</v>
      </c>
    </row>
    <row r="109" spans="3:6" x14ac:dyDescent="0.3">
      <c r="C109" s="21">
        <v>106</v>
      </c>
      <c r="D109" s="11" t="s">
        <v>150</v>
      </c>
      <c r="E109" s="25">
        <v>32</v>
      </c>
      <c r="F109" s="221" t="s">
        <v>466</v>
      </c>
    </row>
    <row r="110" spans="3:6" x14ac:dyDescent="0.3">
      <c r="C110" s="233">
        <v>107</v>
      </c>
      <c r="D110" s="11" t="s">
        <v>150</v>
      </c>
      <c r="E110" s="25">
        <v>33</v>
      </c>
      <c r="F110" s="16" t="s">
        <v>174</v>
      </c>
    </row>
    <row r="111" spans="3:6" x14ac:dyDescent="0.3">
      <c r="C111" s="11">
        <v>108</v>
      </c>
      <c r="D111" s="11" t="s">
        <v>150</v>
      </c>
      <c r="E111" s="25">
        <v>34</v>
      </c>
      <c r="F111" s="16" t="s">
        <v>175</v>
      </c>
    </row>
    <row r="112" spans="3:6" x14ac:dyDescent="0.3">
      <c r="C112" s="21">
        <v>109</v>
      </c>
      <c r="D112" s="11" t="s">
        <v>150</v>
      </c>
      <c r="E112" s="25">
        <v>35</v>
      </c>
      <c r="F112" s="16" t="s">
        <v>176</v>
      </c>
    </row>
    <row r="113" spans="3:6" ht="20.399999999999999" x14ac:dyDescent="0.3">
      <c r="C113" s="233">
        <v>110</v>
      </c>
      <c r="D113" s="11" t="s">
        <v>150</v>
      </c>
      <c r="E113" s="25">
        <v>36</v>
      </c>
      <c r="F113" s="16" t="s">
        <v>177</v>
      </c>
    </row>
    <row r="114" spans="3:6" x14ac:dyDescent="0.3">
      <c r="C114" s="11">
        <v>111</v>
      </c>
      <c r="D114" s="11" t="s">
        <v>150</v>
      </c>
      <c r="E114" s="25">
        <v>37</v>
      </c>
      <c r="F114" s="10" t="s">
        <v>178</v>
      </c>
    </row>
    <row r="115" spans="3:6" x14ac:dyDescent="0.3">
      <c r="C115" s="21">
        <v>112</v>
      </c>
      <c r="D115" s="11" t="s">
        <v>150</v>
      </c>
      <c r="E115" s="25">
        <v>38</v>
      </c>
      <c r="F115" s="220" t="s">
        <v>419</v>
      </c>
    </row>
    <row r="116" spans="3:6" x14ac:dyDescent="0.3">
      <c r="C116" s="233">
        <v>113</v>
      </c>
      <c r="D116" s="222" t="s">
        <v>150</v>
      </c>
      <c r="E116" s="25">
        <v>39</v>
      </c>
      <c r="F116" s="220" t="s">
        <v>420</v>
      </c>
    </row>
    <row r="117" spans="3:6" x14ac:dyDescent="0.3">
      <c r="C117" s="11">
        <v>114</v>
      </c>
      <c r="D117" s="222" t="s">
        <v>150</v>
      </c>
      <c r="E117" s="25">
        <v>40</v>
      </c>
      <c r="F117" s="220" t="s">
        <v>421</v>
      </c>
    </row>
    <row r="118" spans="3:6" x14ac:dyDescent="0.3">
      <c r="C118" s="21">
        <v>115</v>
      </c>
      <c r="D118" s="222" t="s">
        <v>150</v>
      </c>
      <c r="E118" s="25">
        <v>41</v>
      </c>
      <c r="F118" s="223" t="s">
        <v>467</v>
      </c>
    </row>
    <row r="119" spans="3:6" x14ac:dyDescent="0.3">
      <c r="C119" s="233">
        <v>116</v>
      </c>
      <c r="D119" s="222" t="s">
        <v>150</v>
      </c>
      <c r="E119" s="25">
        <v>42</v>
      </c>
      <c r="F119" s="223" t="s">
        <v>554</v>
      </c>
    </row>
    <row r="120" spans="3:6" x14ac:dyDescent="0.3">
      <c r="C120" s="11">
        <v>117</v>
      </c>
      <c r="D120" s="222" t="s">
        <v>150</v>
      </c>
      <c r="E120" s="225">
        <v>43</v>
      </c>
      <c r="F120" s="223" t="s">
        <v>563</v>
      </c>
    </row>
    <row r="121" spans="3:6" x14ac:dyDescent="0.3">
      <c r="C121" s="21">
        <v>118</v>
      </c>
      <c r="D121" s="11" t="s">
        <v>6</v>
      </c>
      <c r="E121" s="27"/>
      <c r="F121" s="12" t="s">
        <v>6</v>
      </c>
    </row>
    <row r="122" spans="3:6" x14ac:dyDescent="0.3">
      <c r="C122" s="233">
        <v>119</v>
      </c>
      <c r="D122" s="11" t="s">
        <v>6</v>
      </c>
      <c r="E122" s="25">
        <v>1</v>
      </c>
      <c r="F122" s="13" t="s">
        <v>7</v>
      </c>
    </row>
    <row r="123" spans="3:6" x14ac:dyDescent="0.3">
      <c r="C123" s="11">
        <v>120</v>
      </c>
      <c r="D123" s="11" t="s">
        <v>6</v>
      </c>
      <c r="E123" s="25">
        <v>2</v>
      </c>
      <c r="F123" s="9" t="s">
        <v>8</v>
      </c>
    </row>
    <row r="124" spans="3:6" x14ac:dyDescent="0.3">
      <c r="C124" s="21">
        <v>121</v>
      </c>
      <c r="D124" s="11" t="s">
        <v>6</v>
      </c>
      <c r="E124" s="25">
        <v>3</v>
      </c>
      <c r="F124" s="14" t="s">
        <v>9</v>
      </c>
    </row>
    <row r="125" spans="3:6" x14ac:dyDescent="0.3">
      <c r="C125" s="233">
        <v>122</v>
      </c>
      <c r="D125" s="11" t="s">
        <v>6</v>
      </c>
      <c r="E125" s="25">
        <v>4</v>
      </c>
      <c r="F125" s="229" t="s">
        <v>443</v>
      </c>
    </row>
    <row r="126" spans="3:6" x14ac:dyDescent="0.3">
      <c r="C126" s="11">
        <v>123</v>
      </c>
      <c r="D126" s="11" t="s">
        <v>6</v>
      </c>
      <c r="E126" s="25">
        <v>5</v>
      </c>
      <c r="F126" s="224" t="s">
        <v>444</v>
      </c>
    </row>
    <row r="127" spans="3:6" x14ac:dyDescent="0.3">
      <c r="C127" s="21">
        <v>124</v>
      </c>
      <c r="D127" s="11" t="s">
        <v>179</v>
      </c>
      <c r="E127" s="27"/>
      <c r="F127" s="12" t="s">
        <v>179</v>
      </c>
    </row>
    <row r="128" spans="3:6" x14ac:dyDescent="0.3">
      <c r="C128" s="233">
        <v>125</v>
      </c>
      <c r="D128" s="11" t="s">
        <v>179</v>
      </c>
      <c r="E128" s="25">
        <v>1</v>
      </c>
      <c r="F128" s="13" t="s">
        <v>11</v>
      </c>
    </row>
    <row r="129" spans="3:6" x14ac:dyDescent="0.3">
      <c r="C129" s="11">
        <v>126</v>
      </c>
      <c r="D129" s="11" t="s">
        <v>179</v>
      </c>
      <c r="E129" s="25">
        <v>2</v>
      </c>
      <c r="F129" s="9" t="s">
        <v>12</v>
      </c>
    </row>
    <row r="130" spans="3:6" x14ac:dyDescent="0.3">
      <c r="C130" s="21">
        <v>127</v>
      </c>
      <c r="D130" s="11" t="s">
        <v>179</v>
      </c>
      <c r="E130" s="25">
        <v>3</v>
      </c>
      <c r="F130" s="10" t="s">
        <v>13</v>
      </c>
    </row>
    <row r="131" spans="3:6" ht="21.6" x14ac:dyDescent="0.3">
      <c r="C131" s="233">
        <v>128</v>
      </c>
      <c r="D131" s="11" t="s">
        <v>179</v>
      </c>
      <c r="E131" s="25">
        <v>4</v>
      </c>
      <c r="F131" s="234" t="s">
        <v>557</v>
      </c>
    </row>
    <row r="132" spans="3:6" x14ac:dyDescent="0.3">
      <c r="C132" s="11">
        <v>129</v>
      </c>
      <c r="D132" s="11" t="s">
        <v>179</v>
      </c>
      <c r="E132" s="225">
        <v>5</v>
      </c>
      <c r="F132" s="223" t="s">
        <v>488</v>
      </c>
    </row>
    <row r="133" spans="3:6" x14ac:dyDescent="0.3">
      <c r="C133" s="21">
        <v>130</v>
      </c>
      <c r="D133" s="11" t="s">
        <v>179</v>
      </c>
      <c r="E133" s="25">
        <v>6</v>
      </c>
      <c r="F133" s="223" t="s">
        <v>556</v>
      </c>
    </row>
    <row r="134" spans="3:6" x14ac:dyDescent="0.3">
      <c r="C134" s="233">
        <v>131</v>
      </c>
      <c r="D134" s="11" t="s">
        <v>180</v>
      </c>
      <c r="E134" s="27"/>
      <c r="F134" s="12" t="s">
        <v>180</v>
      </c>
    </row>
    <row r="135" spans="3:6" x14ac:dyDescent="0.3">
      <c r="C135" s="11">
        <v>132</v>
      </c>
      <c r="D135" s="11" t="s">
        <v>180</v>
      </c>
      <c r="E135" s="25">
        <v>1</v>
      </c>
      <c r="F135" s="13" t="s">
        <v>11</v>
      </c>
    </row>
    <row r="136" spans="3:6" x14ac:dyDescent="0.3">
      <c r="C136" s="21">
        <v>133</v>
      </c>
      <c r="D136" s="11" t="s">
        <v>180</v>
      </c>
      <c r="E136" s="25">
        <v>2</v>
      </c>
      <c r="F136" s="9" t="s">
        <v>181</v>
      </c>
    </row>
    <row r="137" spans="3:6" x14ac:dyDescent="0.3">
      <c r="C137" s="233">
        <v>134</v>
      </c>
      <c r="D137" s="11" t="s">
        <v>180</v>
      </c>
      <c r="E137" s="25">
        <v>3</v>
      </c>
      <c r="F137" s="15" t="s">
        <v>182</v>
      </c>
    </row>
    <row r="138" spans="3:6" x14ac:dyDescent="0.3">
      <c r="C138" s="11">
        <v>135</v>
      </c>
      <c r="D138" s="11" t="s">
        <v>180</v>
      </c>
      <c r="E138" s="25">
        <v>4</v>
      </c>
      <c r="F138" s="15" t="s">
        <v>183</v>
      </c>
    </row>
    <row r="139" spans="3:6" x14ac:dyDescent="0.3">
      <c r="C139" s="21">
        <v>136</v>
      </c>
      <c r="D139" s="11" t="s">
        <v>180</v>
      </c>
      <c r="E139" s="25">
        <v>5</v>
      </c>
      <c r="F139" s="14" t="s">
        <v>184</v>
      </c>
    </row>
    <row r="140" spans="3:6" x14ac:dyDescent="0.3">
      <c r="C140" s="233">
        <v>137</v>
      </c>
      <c r="D140" s="11" t="s">
        <v>180</v>
      </c>
      <c r="E140" s="25">
        <v>6</v>
      </c>
      <c r="F140" s="15" t="s">
        <v>185</v>
      </c>
    </row>
    <row r="141" spans="3:6" x14ac:dyDescent="0.3">
      <c r="C141" s="11">
        <v>138</v>
      </c>
      <c r="D141" s="11" t="s">
        <v>180</v>
      </c>
      <c r="E141" s="25">
        <v>7</v>
      </c>
      <c r="F141" s="15" t="s">
        <v>186</v>
      </c>
    </row>
    <row r="142" spans="3:6" x14ac:dyDescent="0.3">
      <c r="C142" s="21">
        <v>139</v>
      </c>
      <c r="D142" s="11" t="s">
        <v>180</v>
      </c>
      <c r="E142" s="25">
        <v>8</v>
      </c>
      <c r="F142" s="15" t="s">
        <v>187</v>
      </c>
    </row>
    <row r="143" spans="3:6" x14ac:dyDescent="0.3">
      <c r="C143" s="233">
        <v>140</v>
      </c>
      <c r="D143" s="11" t="s">
        <v>14</v>
      </c>
      <c r="E143" s="27"/>
      <c r="F143" s="12" t="s">
        <v>14</v>
      </c>
    </row>
    <row r="144" spans="3:6" x14ac:dyDescent="0.3">
      <c r="C144" s="11">
        <v>141</v>
      </c>
      <c r="D144" s="11" t="s">
        <v>14</v>
      </c>
      <c r="E144" s="25">
        <v>1</v>
      </c>
      <c r="F144" s="13" t="s">
        <v>15</v>
      </c>
    </row>
    <row r="145" spans="3:6" x14ac:dyDescent="0.3">
      <c r="C145" s="21">
        <v>142</v>
      </c>
      <c r="D145" s="11" t="s">
        <v>14</v>
      </c>
      <c r="E145" s="25">
        <v>2</v>
      </c>
      <c r="F145" s="9" t="s">
        <v>16</v>
      </c>
    </row>
    <row r="146" spans="3:6" x14ac:dyDescent="0.3">
      <c r="C146" s="233">
        <v>143</v>
      </c>
      <c r="D146" s="11" t="s">
        <v>14</v>
      </c>
      <c r="E146" s="25">
        <v>3</v>
      </c>
      <c r="F146" s="14" t="s">
        <v>17</v>
      </c>
    </row>
    <row r="147" spans="3:6" x14ac:dyDescent="0.3">
      <c r="C147" s="11">
        <v>144</v>
      </c>
      <c r="D147" s="11" t="s">
        <v>14</v>
      </c>
      <c r="E147" s="25">
        <v>4</v>
      </c>
      <c r="F147" s="17" t="s">
        <v>10</v>
      </c>
    </row>
    <row r="148" spans="3:6" x14ac:dyDescent="0.3">
      <c r="C148" s="21">
        <v>145</v>
      </c>
      <c r="D148" s="11" t="s">
        <v>14</v>
      </c>
      <c r="E148" s="25">
        <v>5</v>
      </c>
      <c r="F148" s="224" t="s">
        <v>435</v>
      </c>
    </row>
    <row r="149" spans="3:6" x14ac:dyDescent="0.3">
      <c r="C149" s="233">
        <v>146</v>
      </c>
      <c r="D149" s="11" t="s">
        <v>14</v>
      </c>
      <c r="E149" s="25">
        <v>6</v>
      </c>
      <c r="F149" s="224" t="s">
        <v>436</v>
      </c>
    </row>
    <row r="150" spans="3:6" x14ac:dyDescent="0.3">
      <c r="C150" s="11">
        <v>147</v>
      </c>
      <c r="D150" s="11" t="s">
        <v>14</v>
      </c>
      <c r="E150" s="25">
        <v>7</v>
      </c>
      <c r="F150" s="223" t="s">
        <v>489</v>
      </c>
    </row>
    <row r="151" spans="3:6" x14ac:dyDescent="0.3">
      <c r="C151" s="21">
        <v>148</v>
      </c>
      <c r="D151" s="11" t="s">
        <v>18</v>
      </c>
      <c r="E151" s="27"/>
      <c r="F151" s="12" t="s">
        <v>18</v>
      </c>
    </row>
    <row r="152" spans="3:6" ht="30.6" x14ac:dyDescent="0.3">
      <c r="C152" s="233">
        <v>149</v>
      </c>
      <c r="D152" s="11" t="s">
        <v>18</v>
      </c>
      <c r="E152" s="25">
        <v>1</v>
      </c>
      <c r="F152" s="13" t="s">
        <v>19</v>
      </c>
    </row>
    <row r="153" spans="3:6" x14ac:dyDescent="0.3">
      <c r="C153" s="11">
        <v>150</v>
      </c>
      <c r="D153" s="11" t="s">
        <v>18</v>
      </c>
      <c r="E153" s="25">
        <v>2</v>
      </c>
      <c r="F153" s="9" t="s">
        <v>20</v>
      </c>
    </row>
    <row r="154" spans="3:6" x14ac:dyDescent="0.3">
      <c r="C154" s="21">
        <v>151</v>
      </c>
      <c r="D154" s="11" t="s">
        <v>18</v>
      </c>
      <c r="E154" s="25">
        <v>3</v>
      </c>
      <c r="F154" s="10" t="s">
        <v>21</v>
      </c>
    </row>
    <row r="155" spans="3:6" x14ac:dyDescent="0.3">
      <c r="C155" s="233">
        <v>152</v>
      </c>
      <c r="D155" s="11" t="s">
        <v>18</v>
      </c>
      <c r="E155" s="25">
        <v>4</v>
      </c>
      <c r="F155" s="10" t="s">
        <v>22</v>
      </c>
    </row>
    <row r="156" spans="3:6" ht="21.6" x14ac:dyDescent="0.3">
      <c r="C156" s="11">
        <v>153</v>
      </c>
      <c r="D156" s="11" t="s">
        <v>18</v>
      </c>
      <c r="E156" s="25">
        <v>5</v>
      </c>
      <c r="F156" s="18" t="s">
        <v>23</v>
      </c>
    </row>
    <row r="157" spans="3:6" x14ac:dyDescent="0.3">
      <c r="C157" s="21">
        <v>154</v>
      </c>
      <c r="D157" s="11" t="s">
        <v>18</v>
      </c>
      <c r="E157" s="25">
        <v>6</v>
      </c>
      <c r="F157" s="226" t="s">
        <v>494</v>
      </c>
    </row>
    <row r="158" spans="3:6" x14ac:dyDescent="0.3">
      <c r="C158" s="233">
        <v>155</v>
      </c>
      <c r="D158" s="11" t="s">
        <v>18</v>
      </c>
      <c r="E158" s="25">
        <v>7</v>
      </c>
      <c r="F158" s="226" t="s">
        <v>495</v>
      </c>
    </row>
    <row r="159" spans="3:6" x14ac:dyDescent="0.3">
      <c r="C159" s="11">
        <v>156</v>
      </c>
      <c r="D159" s="11" t="s">
        <v>18</v>
      </c>
      <c r="E159" s="25">
        <v>8</v>
      </c>
      <c r="F159" s="226" t="s">
        <v>496</v>
      </c>
    </row>
    <row r="160" spans="3:6" x14ac:dyDescent="0.3">
      <c r="C160" s="21">
        <v>157</v>
      </c>
      <c r="D160" s="11" t="s">
        <v>18</v>
      </c>
      <c r="E160" s="25">
        <v>9</v>
      </c>
      <c r="F160" s="226" t="s">
        <v>497</v>
      </c>
    </row>
    <row r="161" spans="3:6" x14ac:dyDescent="0.3">
      <c r="C161" s="233">
        <v>158</v>
      </c>
      <c r="D161" s="11" t="s">
        <v>18</v>
      </c>
      <c r="E161" s="25">
        <v>10</v>
      </c>
      <c r="F161" s="223" t="s">
        <v>498</v>
      </c>
    </row>
    <row r="162" spans="3:6" x14ac:dyDescent="0.3">
      <c r="C162" s="11">
        <v>159</v>
      </c>
      <c r="D162" s="11" t="s">
        <v>188</v>
      </c>
      <c r="E162" s="27"/>
      <c r="F162" s="12" t="s">
        <v>188</v>
      </c>
    </row>
    <row r="163" spans="3:6" ht="30.6" x14ac:dyDescent="0.3">
      <c r="C163" s="21">
        <v>160</v>
      </c>
      <c r="D163" s="11" t="s">
        <v>188</v>
      </c>
      <c r="E163" s="25">
        <v>1</v>
      </c>
      <c r="F163" s="13" t="s">
        <v>19</v>
      </c>
    </row>
    <row r="164" spans="3:6" x14ac:dyDescent="0.3">
      <c r="C164" s="233">
        <v>161</v>
      </c>
      <c r="D164" s="11" t="s">
        <v>188</v>
      </c>
      <c r="E164" s="25">
        <v>2</v>
      </c>
      <c r="F164" s="9" t="s">
        <v>20</v>
      </c>
    </row>
    <row r="165" spans="3:6" x14ac:dyDescent="0.3">
      <c r="C165" s="11">
        <v>162</v>
      </c>
      <c r="D165" s="11" t="s">
        <v>188</v>
      </c>
      <c r="E165" s="25">
        <v>3</v>
      </c>
      <c r="F165" s="10" t="s">
        <v>189</v>
      </c>
    </row>
    <row r="166" spans="3:6" x14ac:dyDescent="0.3">
      <c r="C166" s="21">
        <v>163</v>
      </c>
      <c r="D166" s="11" t="s">
        <v>188</v>
      </c>
      <c r="E166" s="25">
        <v>4</v>
      </c>
      <c r="F166" s="10" t="s">
        <v>190</v>
      </c>
    </row>
    <row r="167" spans="3:6" ht="20.399999999999999" x14ac:dyDescent="0.3">
      <c r="C167" s="233">
        <v>164</v>
      </c>
      <c r="D167" s="11" t="s">
        <v>188</v>
      </c>
      <c r="E167" s="25">
        <v>5</v>
      </c>
      <c r="F167" s="10" t="s">
        <v>191</v>
      </c>
    </row>
    <row r="168" spans="3:6" x14ac:dyDescent="0.3">
      <c r="C168" s="11">
        <v>165</v>
      </c>
      <c r="D168" s="222" t="s">
        <v>188</v>
      </c>
      <c r="E168" s="225">
        <v>6</v>
      </c>
      <c r="F168" s="223" t="s">
        <v>458</v>
      </c>
    </row>
    <row r="169" spans="3:6" x14ac:dyDescent="0.3">
      <c r="C169" s="21">
        <v>166</v>
      </c>
      <c r="D169" s="222" t="s">
        <v>188</v>
      </c>
      <c r="E169" s="25">
        <v>7</v>
      </c>
      <c r="F169" s="223" t="s">
        <v>490</v>
      </c>
    </row>
    <row r="170" spans="3:6" x14ac:dyDescent="0.3">
      <c r="C170" s="233">
        <v>167</v>
      </c>
      <c r="D170" s="222" t="s">
        <v>188</v>
      </c>
      <c r="E170" s="225">
        <v>8</v>
      </c>
      <c r="F170" s="223" t="s">
        <v>493</v>
      </c>
    </row>
    <row r="171" spans="3:6" x14ac:dyDescent="0.3">
      <c r="C171" s="11">
        <v>168</v>
      </c>
      <c r="D171" s="222" t="s">
        <v>188</v>
      </c>
      <c r="E171" s="25">
        <v>9</v>
      </c>
      <c r="F171" s="223" t="s">
        <v>498</v>
      </c>
    </row>
    <row r="172" spans="3:6" x14ac:dyDescent="0.3">
      <c r="C172" s="21">
        <v>169</v>
      </c>
      <c r="D172" s="222" t="s">
        <v>188</v>
      </c>
      <c r="E172" s="225">
        <v>10</v>
      </c>
      <c r="F172" s="223" t="s">
        <v>499</v>
      </c>
    </row>
    <row r="173" spans="3:6" x14ac:dyDescent="0.3">
      <c r="C173" s="233">
        <v>170</v>
      </c>
      <c r="D173" s="222" t="s">
        <v>491</v>
      </c>
      <c r="E173" s="27"/>
      <c r="F173" s="230" t="s">
        <v>491</v>
      </c>
    </row>
    <row r="174" spans="3:6" x14ac:dyDescent="0.3">
      <c r="C174" s="11">
        <v>171</v>
      </c>
      <c r="D174" s="222" t="s">
        <v>491</v>
      </c>
      <c r="E174" s="25">
        <v>1</v>
      </c>
      <c r="F174" s="223" t="s">
        <v>492</v>
      </c>
    </row>
    <row r="175" spans="3:6" x14ac:dyDescent="0.3">
      <c r="C175" s="21">
        <v>172</v>
      </c>
      <c r="D175" s="222" t="s">
        <v>491</v>
      </c>
      <c r="E175" s="225">
        <v>2</v>
      </c>
      <c r="F175" s="223" t="s">
        <v>498</v>
      </c>
    </row>
    <row r="176" spans="3:6" x14ac:dyDescent="0.3">
      <c r="C176" s="233">
        <v>173</v>
      </c>
      <c r="D176" s="222" t="s">
        <v>491</v>
      </c>
      <c r="E176" s="225">
        <v>3</v>
      </c>
      <c r="F176" s="223" t="s">
        <v>555</v>
      </c>
    </row>
    <row r="177" spans="3:6" x14ac:dyDescent="0.3">
      <c r="C177" s="11">
        <v>174</v>
      </c>
      <c r="D177" s="11" t="s">
        <v>192</v>
      </c>
      <c r="E177" s="27"/>
      <c r="F177" s="12" t="s">
        <v>192</v>
      </c>
    </row>
    <row r="178" spans="3:6" ht="30.6" x14ac:dyDescent="0.3">
      <c r="C178" s="21">
        <v>175</v>
      </c>
      <c r="D178" s="11" t="s">
        <v>192</v>
      </c>
      <c r="E178" s="25">
        <v>1</v>
      </c>
      <c r="F178" s="13" t="s">
        <v>19</v>
      </c>
    </row>
    <row r="179" spans="3:6" x14ac:dyDescent="0.3">
      <c r="C179" s="233">
        <v>176</v>
      </c>
      <c r="D179" s="11" t="s">
        <v>192</v>
      </c>
      <c r="E179" s="25">
        <v>2</v>
      </c>
      <c r="F179" s="9" t="s">
        <v>20</v>
      </c>
    </row>
    <row r="180" spans="3:6" x14ac:dyDescent="0.3">
      <c r="C180" s="11">
        <v>177</v>
      </c>
      <c r="D180" s="11" t="s">
        <v>192</v>
      </c>
      <c r="E180" s="25">
        <v>3</v>
      </c>
      <c r="F180" s="10" t="s">
        <v>193</v>
      </c>
    </row>
    <row r="181" spans="3:6" x14ac:dyDescent="0.3">
      <c r="C181" s="21">
        <v>178</v>
      </c>
      <c r="D181" s="11" t="s">
        <v>192</v>
      </c>
      <c r="E181" s="25">
        <v>4</v>
      </c>
      <c r="F181" s="10" t="s">
        <v>194</v>
      </c>
    </row>
    <row r="182" spans="3:6" x14ac:dyDescent="0.3">
      <c r="C182" s="233">
        <v>179</v>
      </c>
      <c r="D182" s="11" t="s">
        <v>192</v>
      </c>
      <c r="E182" s="25">
        <v>5</v>
      </c>
      <c r="F182" s="10" t="s">
        <v>195</v>
      </c>
    </row>
    <row r="183" spans="3:6" x14ac:dyDescent="0.3">
      <c r="C183" s="11">
        <v>180</v>
      </c>
      <c r="D183" s="11" t="s">
        <v>192</v>
      </c>
      <c r="E183" s="25">
        <v>6</v>
      </c>
      <c r="F183" s="10" t="s">
        <v>196</v>
      </c>
    </row>
    <row r="184" spans="3:6" ht="20.399999999999999" x14ac:dyDescent="0.3">
      <c r="C184" s="21">
        <v>181</v>
      </c>
      <c r="D184" s="11" t="s">
        <v>192</v>
      </c>
      <c r="E184" s="25">
        <v>7</v>
      </c>
      <c r="F184" s="10" t="s">
        <v>197</v>
      </c>
    </row>
    <row r="185" spans="3:6" x14ac:dyDescent="0.3">
      <c r="C185" s="233">
        <v>182</v>
      </c>
      <c r="D185" s="11" t="s">
        <v>192</v>
      </c>
      <c r="E185" s="25">
        <v>8</v>
      </c>
      <c r="F185" s="223" t="s">
        <v>498</v>
      </c>
    </row>
    <row r="186" spans="3:6" x14ac:dyDescent="0.3">
      <c r="C186" s="11">
        <v>183</v>
      </c>
      <c r="D186" s="11" t="s">
        <v>198</v>
      </c>
      <c r="E186" s="27"/>
      <c r="F186" s="12" t="s">
        <v>198</v>
      </c>
    </row>
    <row r="187" spans="3:6" ht="30.6" x14ac:dyDescent="0.3">
      <c r="C187" s="21">
        <v>184</v>
      </c>
      <c r="D187" s="11" t="s">
        <v>198</v>
      </c>
      <c r="E187" s="25">
        <v>1</v>
      </c>
      <c r="F187" s="13" t="s">
        <v>19</v>
      </c>
    </row>
    <row r="188" spans="3:6" x14ac:dyDescent="0.3">
      <c r="C188" s="233">
        <v>185</v>
      </c>
      <c r="D188" s="11" t="s">
        <v>198</v>
      </c>
      <c r="E188" s="25">
        <v>2</v>
      </c>
      <c r="F188" s="9" t="s">
        <v>20</v>
      </c>
    </row>
    <row r="189" spans="3:6" x14ac:dyDescent="0.3">
      <c r="C189" s="11">
        <v>186</v>
      </c>
      <c r="D189" s="11" t="s">
        <v>198</v>
      </c>
      <c r="E189" s="25">
        <v>3</v>
      </c>
      <c r="F189" s="10" t="s">
        <v>199</v>
      </c>
    </row>
    <row r="190" spans="3:6" x14ac:dyDescent="0.3">
      <c r="C190" s="21">
        <v>187</v>
      </c>
      <c r="D190" s="11" t="s">
        <v>198</v>
      </c>
      <c r="E190" s="25">
        <v>4</v>
      </c>
      <c r="F190" s="19" t="s">
        <v>200</v>
      </c>
    </row>
    <row r="191" spans="3:6" ht="21.6" x14ac:dyDescent="0.3">
      <c r="C191" s="233">
        <v>188</v>
      </c>
      <c r="D191" s="11" t="s">
        <v>198</v>
      </c>
      <c r="E191" s="25">
        <v>5</v>
      </c>
      <c r="F191" s="18" t="s">
        <v>23</v>
      </c>
    </row>
    <row r="192" spans="3:6" x14ac:dyDescent="0.3">
      <c r="C192" s="11">
        <v>189</v>
      </c>
      <c r="D192" s="11" t="s">
        <v>198</v>
      </c>
      <c r="E192" s="25">
        <v>6</v>
      </c>
      <c r="F192" s="19" t="s">
        <v>201</v>
      </c>
    </row>
    <row r="193" spans="3:6" x14ac:dyDescent="0.3">
      <c r="C193" s="21">
        <v>190</v>
      </c>
      <c r="D193" s="11" t="s">
        <v>198</v>
      </c>
      <c r="E193" s="25">
        <v>7</v>
      </c>
      <c r="F193" s="19" t="s">
        <v>202</v>
      </c>
    </row>
    <row r="194" spans="3:6" x14ac:dyDescent="0.3">
      <c r="C194" s="233">
        <v>191</v>
      </c>
      <c r="D194" s="11" t="s">
        <v>203</v>
      </c>
      <c r="E194" s="27"/>
      <c r="F194" s="12" t="s">
        <v>203</v>
      </c>
    </row>
    <row r="195" spans="3:6" x14ac:dyDescent="0.3">
      <c r="C195" s="11">
        <v>192</v>
      </c>
      <c r="D195" s="11" t="s">
        <v>203</v>
      </c>
      <c r="E195" s="25">
        <v>1</v>
      </c>
      <c r="F195" s="13" t="s">
        <v>204</v>
      </c>
    </row>
    <row r="196" spans="3:6" x14ac:dyDescent="0.3">
      <c r="C196" s="21">
        <v>193</v>
      </c>
      <c r="D196" s="11" t="s">
        <v>203</v>
      </c>
      <c r="E196" s="25">
        <v>2</v>
      </c>
      <c r="F196" s="9" t="s">
        <v>205</v>
      </c>
    </row>
    <row r="197" spans="3:6" x14ac:dyDescent="0.3">
      <c r="C197" s="233">
        <v>194</v>
      </c>
      <c r="D197" s="11" t="s">
        <v>203</v>
      </c>
      <c r="E197" s="25">
        <v>3</v>
      </c>
      <c r="F197" s="10" t="s">
        <v>206</v>
      </c>
    </row>
    <row r="198" spans="3:6" x14ac:dyDescent="0.3">
      <c r="C198" s="11">
        <v>195</v>
      </c>
      <c r="D198" s="222" t="s">
        <v>426</v>
      </c>
      <c r="E198" s="27"/>
      <c r="F198" s="12" t="s">
        <v>426</v>
      </c>
    </row>
    <row r="199" spans="3:6" x14ac:dyDescent="0.3">
      <c r="C199" s="21">
        <v>196</v>
      </c>
      <c r="D199" s="222" t="s">
        <v>426</v>
      </c>
      <c r="E199" s="25">
        <v>1</v>
      </c>
      <c r="F199" s="13" t="s">
        <v>207</v>
      </c>
    </row>
    <row r="200" spans="3:6" ht="20.399999999999999" x14ac:dyDescent="0.3">
      <c r="C200" s="233">
        <v>197</v>
      </c>
      <c r="D200" s="222" t="s">
        <v>426</v>
      </c>
      <c r="E200" s="25">
        <v>2</v>
      </c>
      <c r="F200" s="13" t="s">
        <v>208</v>
      </c>
    </row>
    <row r="201" spans="3:6" x14ac:dyDescent="0.3">
      <c r="C201" s="11">
        <v>198</v>
      </c>
      <c r="D201" s="222" t="s">
        <v>426</v>
      </c>
      <c r="E201" s="25">
        <v>3</v>
      </c>
      <c r="F201" s="223" t="s">
        <v>422</v>
      </c>
    </row>
    <row r="202" spans="3:6" x14ac:dyDescent="0.3">
      <c r="C202" s="21">
        <v>199</v>
      </c>
      <c r="D202" s="222" t="s">
        <v>426</v>
      </c>
      <c r="E202" s="25">
        <v>4</v>
      </c>
      <c r="F202" s="223" t="s">
        <v>423</v>
      </c>
    </row>
    <row r="203" spans="3:6" x14ac:dyDescent="0.3">
      <c r="C203" s="233">
        <v>200</v>
      </c>
      <c r="D203" s="222" t="s">
        <v>426</v>
      </c>
      <c r="E203" s="25">
        <v>5</v>
      </c>
      <c r="F203" s="223" t="s">
        <v>424</v>
      </c>
    </row>
    <row r="204" spans="3:6" x14ac:dyDescent="0.3">
      <c r="C204" s="11">
        <v>201</v>
      </c>
      <c r="D204" s="222" t="s">
        <v>426</v>
      </c>
      <c r="E204" s="25">
        <v>6</v>
      </c>
      <c r="F204" s="223" t="s">
        <v>425</v>
      </c>
    </row>
    <row r="205" spans="3:6" x14ac:dyDescent="0.3">
      <c r="C205" s="21">
        <v>202</v>
      </c>
      <c r="D205" s="222" t="s">
        <v>426</v>
      </c>
      <c r="E205" s="25">
        <v>7</v>
      </c>
      <c r="F205" s="223" t="s">
        <v>490</v>
      </c>
    </row>
    <row r="206" spans="3:6" x14ac:dyDescent="0.3">
      <c r="C206" s="233">
        <v>203</v>
      </c>
      <c r="D206" s="222" t="s">
        <v>426</v>
      </c>
      <c r="E206" s="25">
        <v>8</v>
      </c>
      <c r="F206" s="223" t="s">
        <v>493</v>
      </c>
    </row>
    <row r="207" spans="3:6" x14ac:dyDescent="0.3">
      <c r="C207" s="11">
        <v>204</v>
      </c>
      <c r="D207" s="222" t="s">
        <v>426</v>
      </c>
      <c r="E207" s="25">
        <v>9</v>
      </c>
      <c r="F207" s="223" t="s">
        <v>500</v>
      </c>
    </row>
    <row r="208" spans="3:6" x14ac:dyDescent="0.3">
      <c r="C208" s="21">
        <v>205</v>
      </c>
      <c r="D208" s="222" t="s">
        <v>426</v>
      </c>
      <c r="E208" s="25">
        <v>10</v>
      </c>
      <c r="F208" s="226" t="s">
        <v>501</v>
      </c>
    </row>
    <row r="209" spans="3:6" x14ac:dyDescent="0.3">
      <c r="C209" s="233">
        <v>206</v>
      </c>
      <c r="D209" s="222" t="s">
        <v>426</v>
      </c>
      <c r="E209" s="25">
        <v>11</v>
      </c>
      <c r="F209" s="223" t="s">
        <v>502</v>
      </c>
    </row>
    <row r="210" spans="3:6" x14ac:dyDescent="0.3">
      <c r="C210" s="11">
        <v>207</v>
      </c>
      <c r="D210" s="11" t="s">
        <v>209</v>
      </c>
      <c r="E210" s="27"/>
      <c r="F210" s="12" t="s">
        <v>209</v>
      </c>
    </row>
    <row r="211" spans="3:6" ht="30.6" x14ac:dyDescent="0.3">
      <c r="C211" s="21">
        <v>208</v>
      </c>
      <c r="D211" s="11" t="s">
        <v>209</v>
      </c>
      <c r="E211" s="25">
        <v>1</v>
      </c>
      <c r="F211" s="13" t="s">
        <v>19</v>
      </c>
    </row>
    <row r="212" spans="3:6" x14ac:dyDescent="0.3">
      <c r="C212" s="233">
        <v>209</v>
      </c>
      <c r="D212" s="11" t="s">
        <v>209</v>
      </c>
      <c r="E212" s="25">
        <v>2</v>
      </c>
      <c r="F212" s="9" t="s">
        <v>20</v>
      </c>
    </row>
    <row r="213" spans="3:6" x14ac:dyDescent="0.3">
      <c r="C213" s="11">
        <v>210</v>
      </c>
      <c r="D213" s="11" t="s">
        <v>209</v>
      </c>
      <c r="E213" s="25">
        <v>3</v>
      </c>
      <c r="F213" s="10" t="s">
        <v>210</v>
      </c>
    </row>
    <row r="214" spans="3:6" x14ac:dyDescent="0.3">
      <c r="C214" s="21">
        <v>211</v>
      </c>
      <c r="D214" s="11" t="s">
        <v>211</v>
      </c>
      <c r="E214" s="27"/>
      <c r="F214" s="12" t="s">
        <v>211</v>
      </c>
    </row>
    <row r="215" spans="3:6" x14ac:dyDescent="0.3">
      <c r="C215" s="233">
        <v>212</v>
      </c>
      <c r="D215" s="11" t="s">
        <v>211</v>
      </c>
      <c r="E215" s="25">
        <v>1</v>
      </c>
      <c r="F215" s="13" t="s">
        <v>212</v>
      </c>
    </row>
    <row r="216" spans="3:6" x14ac:dyDescent="0.3">
      <c r="C216" s="11">
        <v>213</v>
      </c>
      <c r="D216" s="11" t="s">
        <v>211</v>
      </c>
      <c r="E216" s="25">
        <v>2</v>
      </c>
      <c r="F216" s="221" t="s">
        <v>504</v>
      </c>
    </row>
    <row r="217" spans="3:6" x14ac:dyDescent="0.3">
      <c r="C217" s="21">
        <v>214</v>
      </c>
      <c r="D217" s="11" t="s">
        <v>211</v>
      </c>
      <c r="E217" s="225"/>
      <c r="F217" s="223" t="s">
        <v>503</v>
      </c>
    </row>
    <row r="218" spans="3:6" x14ac:dyDescent="0.3">
      <c r="C218" s="233">
        <v>215</v>
      </c>
      <c r="D218" s="11" t="s">
        <v>211</v>
      </c>
      <c r="E218" s="25">
        <v>3</v>
      </c>
      <c r="F218" s="220" t="s">
        <v>505</v>
      </c>
    </row>
    <row r="219" spans="3:6" x14ac:dyDescent="0.3">
      <c r="C219" s="11">
        <v>216</v>
      </c>
      <c r="D219" s="11" t="s">
        <v>211</v>
      </c>
      <c r="E219" s="25">
        <v>4</v>
      </c>
      <c r="F219" s="220" t="s">
        <v>506</v>
      </c>
    </row>
    <row r="220" spans="3:6" x14ac:dyDescent="0.3">
      <c r="C220" s="21">
        <v>217</v>
      </c>
      <c r="D220" s="11" t="s">
        <v>211</v>
      </c>
      <c r="E220" s="25">
        <v>5</v>
      </c>
      <c r="F220" s="220" t="s">
        <v>507</v>
      </c>
    </row>
    <row r="221" spans="3:6" x14ac:dyDescent="0.3">
      <c r="C221" s="233">
        <v>218</v>
      </c>
      <c r="D221" s="11" t="s">
        <v>211</v>
      </c>
      <c r="E221" s="25">
        <v>6</v>
      </c>
      <c r="F221" s="220" t="s">
        <v>508</v>
      </c>
    </row>
    <row r="222" spans="3:6" x14ac:dyDescent="0.3">
      <c r="C222" s="11">
        <v>219</v>
      </c>
      <c r="D222" s="11" t="s">
        <v>211</v>
      </c>
      <c r="E222" s="25">
        <v>7</v>
      </c>
      <c r="F222" s="220" t="s">
        <v>509</v>
      </c>
    </row>
    <row r="223" spans="3:6" ht="20.399999999999999" x14ac:dyDescent="0.3">
      <c r="C223" s="21">
        <v>220</v>
      </c>
      <c r="D223" s="11" t="s">
        <v>211</v>
      </c>
      <c r="E223" s="25">
        <v>8</v>
      </c>
      <c r="F223" s="10" t="s">
        <v>213</v>
      </c>
    </row>
    <row r="224" spans="3:6" x14ac:dyDescent="0.3">
      <c r="C224" s="233">
        <v>221</v>
      </c>
      <c r="D224" s="11" t="s">
        <v>211</v>
      </c>
      <c r="E224" s="25">
        <v>9</v>
      </c>
      <c r="F224" s="10" t="s">
        <v>214</v>
      </c>
    </row>
    <row r="225" spans="3:6" x14ac:dyDescent="0.3">
      <c r="C225" s="11">
        <v>222</v>
      </c>
      <c r="D225" s="11" t="s">
        <v>211</v>
      </c>
      <c r="E225" s="25">
        <v>10</v>
      </c>
      <c r="F225" s="220" t="s">
        <v>418</v>
      </c>
    </row>
    <row r="226" spans="3:6" x14ac:dyDescent="0.3">
      <c r="C226" s="21">
        <v>223</v>
      </c>
      <c r="D226" s="11" t="s">
        <v>215</v>
      </c>
      <c r="E226" s="27"/>
      <c r="F226" s="12" t="s">
        <v>215</v>
      </c>
    </row>
    <row r="227" spans="3:6" x14ac:dyDescent="0.3">
      <c r="C227" s="233">
        <v>224</v>
      </c>
      <c r="D227" s="11" t="s">
        <v>215</v>
      </c>
      <c r="E227" s="25">
        <v>1</v>
      </c>
      <c r="F227" s="13" t="s">
        <v>216</v>
      </c>
    </row>
    <row r="228" spans="3:6" x14ac:dyDescent="0.3">
      <c r="C228" s="11">
        <v>225</v>
      </c>
      <c r="D228" s="11" t="s">
        <v>215</v>
      </c>
      <c r="E228" s="25">
        <v>2</v>
      </c>
      <c r="F228" s="9" t="s">
        <v>217</v>
      </c>
    </row>
    <row r="229" spans="3:6" x14ac:dyDescent="0.3">
      <c r="C229" s="21">
        <v>226</v>
      </c>
      <c r="D229" s="11" t="s">
        <v>215</v>
      </c>
      <c r="E229" s="25">
        <v>3</v>
      </c>
      <c r="F229" s="9" t="s">
        <v>218</v>
      </c>
    </row>
    <row r="230" spans="3:6" x14ac:dyDescent="0.3">
      <c r="C230" s="233">
        <v>227</v>
      </c>
      <c r="D230" s="11" t="s">
        <v>215</v>
      </c>
      <c r="E230" s="25">
        <v>4</v>
      </c>
      <c r="F230" s="9" t="s">
        <v>219</v>
      </c>
    </row>
    <row r="231" spans="3:6" ht="20.399999999999999" x14ac:dyDescent="0.3">
      <c r="C231" s="11">
        <v>228</v>
      </c>
      <c r="D231" s="11" t="s">
        <v>215</v>
      </c>
      <c r="E231" s="25">
        <v>5</v>
      </c>
      <c r="F231" s="9" t="s">
        <v>220</v>
      </c>
    </row>
    <row r="232" spans="3:6" x14ac:dyDescent="0.3">
      <c r="C232" s="21">
        <v>229</v>
      </c>
      <c r="D232" s="11" t="s">
        <v>215</v>
      </c>
      <c r="E232" s="25">
        <v>6</v>
      </c>
      <c r="F232" s="221" t="s">
        <v>427</v>
      </c>
    </row>
    <row r="233" spans="3:6" x14ac:dyDescent="0.3">
      <c r="C233" s="233">
        <v>230</v>
      </c>
      <c r="D233" s="11" t="s">
        <v>215</v>
      </c>
      <c r="E233" s="25">
        <v>7</v>
      </c>
      <c r="F233" s="221" t="s">
        <v>428</v>
      </c>
    </row>
    <row r="234" spans="3:6" x14ac:dyDescent="0.3">
      <c r="C234" s="11">
        <v>231</v>
      </c>
      <c r="D234" s="11" t="s">
        <v>215</v>
      </c>
      <c r="E234" s="25">
        <v>8</v>
      </c>
      <c r="F234" s="223" t="s">
        <v>520</v>
      </c>
    </row>
    <row r="235" spans="3:6" x14ac:dyDescent="0.3">
      <c r="C235" s="21">
        <v>232</v>
      </c>
      <c r="D235" s="11" t="s">
        <v>215</v>
      </c>
      <c r="E235" s="25">
        <v>9</v>
      </c>
      <c r="F235" s="223" t="s">
        <v>522</v>
      </c>
    </row>
    <row r="236" spans="3:6" x14ac:dyDescent="0.3">
      <c r="C236" s="233">
        <v>233</v>
      </c>
      <c r="D236" s="11" t="s">
        <v>215</v>
      </c>
      <c r="E236" s="25">
        <v>10</v>
      </c>
      <c r="F236" s="223" t="s">
        <v>521</v>
      </c>
    </row>
    <row r="237" spans="3:6" x14ac:dyDescent="0.3">
      <c r="C237" s="11">
        <v>234</v>
      </c>
      <c r="D237" s="11" t="s">
        <v>215</v>
      </c>
      <c r="E237" s="25">
        <v>11</v>
      </c>
      <c r="F237" s="223" t="s">
        <v>523</v>
      </c>
    </row>
    <row r="238" spans="3:6" x14ac:dyDescent="0.3">
      <c r="C238" s="21">
        <v>235</v>
      </c>
      <c r="D238" s="11" t="s">
        <v>215</v>
      </c>
      <c r="E238" s="25">
        <v>12</v>
      </c>
      <c r="F238" s="223" t="s">
        <v>524</v>
      </c>
    </row>
    <row r="239" spans="3:6" x14ac:dyDescent="0.3">
      <c r="C239" s="233">
        <v>236</v>
      </c>
      <c r="D239" s="11" t="s">
        <v>215</v>
      </c>
      <c r="E239" s="25">
        <v>13</v>
      </c>
      <c r="F239" s="223" t="s">
        <v>525</v>
      </c>
    </row>
    <row r="240" spans="3:6" x14ac:dyDescent="0.3">
      <c r="C240" s="11">
        <v>237</v>
      </c>
      <c r="D240" s="11" t="s">
        <v>221</v>
      </c>
      <c r="E240" s="27"/>
      <c r="F240" s="12" t="s">
        <v>221</v>
      </c>
    </row>
    <row r="241" spans="3:6" x14ac:dyDescent="0.3">
      <c r="C241" s="21">
        <v>238</v>
      </c>
      <c r="D241" s="11" t="s">
        <v>221</v>
      </c>
      <c r="E241" s="25">
        <v>1</v>
      </c>
      <c r="F241" s="13" t="s">
        <v>216</v>
      </c>
    </row>
    <row r="242" spans="3:6" ht="30.6" x14ac:dyDescent="0.3">
      <c r="C242" s="233">
        <v>239</v>
      </c>
      <c r="D242" s="11" t="s">
        <v>221</v>
      </c>
      <c r="E242" s="25">
        <v>2</v>
      </c>
      <c r="F242" s="221" t="s">
        <v>222</v>
      </c>
    </row>
    <row r="243" spans="3:6" x14ac:dyDescent="0.3">
      <c r="C243" s="11">
        <v>240</v>
      </c>
      <c r="D243" s="11" t="s">
        <v>221</v>
      </c>
      <c r="E243" s="25">
        <v>3</v>
      </c>
      <c r="F243" s="9" t="s">
        <v>223</v>
      </c>
    </row>
    <row r="244" spans="3:6" x14ac:dyDescent="0.3">
      <c r="C244" s="21">
        <v>241</v>
      </c>
      <c r="D244" s="11" t="s">
        <v>221</v>
      </c>
      <c r="E244" s="25">
        <v>4</v>
      </c>
      <c r="F244" s="9" t="s">
        <v>224</v>
      </c>
    </row>
    <row r="245" spans="3:6" x14ac:dyDescent="0.3">
      <c r="C245" s="233">
        <v>242</v>
      </c>
      <c r="D245" s="11" t="s">
        <v>221</v>
      </c>
      <c r="E245" s="25">
        <v>5</v>
      </c>
      <c r="F245" s="226" t="s">
        <v>517</v>
      </c>
    </row>
    <row r="246" spans="3:6" x14ac:dyDescent="0.3">
      <c r="C246" s="11">
        <v>243</v>
      </c>
      <c r="D246" s="11" t="s">
        <v>221</v>
      </c>
      <c r="E246" s="25">
        <v>6</v>
      </c>
      <c r="F246" s="226" t="s">
        <v>519</v>
      </c>
    </row>
    <row r="247" spans="3:6" x14ac:dyDescent="0.3">
      <c r="C247" s="21">
        <v>244</v>
      </c>
      <c r="D247" s="11" t="s">
        <v>221</v>
      </c>
      <c r="E247" s="25">
        <v>7</v>
      </c>
      <c r="F247" s="223" t="s">
        <v>518</v>
      </c>
    </row>
    <row r="248" spans="3:6" x14ac:dyDescent="0.3">
      <c r="C248" s="233">
        <v>245</v>
      </c>
      <c r="D248" s="11" t="s">
        <v>225</v>
      </c>
      <c r="E248" s="27"/>
      <c r="F248" s="12" t="s">
        <v>225</v>
      </c>
    </row>
    <row r="249" spans="3:6" x14ac:dyDescent="0.3">
      <c r="C249" s="11">
        <v>246</v>
      </c>
      <c r="D249" s="11" t="s">
        <v>225</v>
      </c>
      <c r="E249" s="25">
        <v>1</v>
      </c>
      <c r="F249" s="13" t="s">
        <v>216</v>
      </c>
    </row>
    <row r="250" spans="3:6" x14ac:dyDescent="0.3">
      <c r="C250" s="21">
        <v>247</v>
      </c>
      <c r="D250" s="11" t="s">
        <v>225</v>
      </c>
      <c r="E250" s="25">
        <v>2</v>
      </c>
      <c r="F250" s="9" t="s">
        <v>226</v>
      </c>
    </row>
    <row r="251" spans="3:6" x14ac:dyDescent="0.3">
      <c r="C251" s="233">
        <v>248</v>
      </c>
      <c r="D251" s="11" t="s">
        <v>225</v>
      </c>
      <c r="E251" s="25">
        <v>3</v>
      </c>
      <c r="F251" s="223" t="s">
        <v>518</v>
      </c>
    </row>
    <row r="252" spans="3:6" x14ac:dyDescent="0.3">
      <c r="C252" s="11">
        <v>249</v>
      </c>
      <c r="D252" s="11" t="s">
        <v>227</v>
      </c>
      <c r="E252" s="27"/>
      <c r="F252" s="12" t="s">
        <v>227</v>
      </c>
    </row>
    <row r="253" spans="3:6" x14ac:dyDescent="0.3">
      <c r="C253" s="21">
        <v>250</v>
      </c>
      <c r="D253" s="11" t="s">
        <v>227</v>
      </c>
      <c r="E253" s="25">
        <v>1</v>
      </c>
      <c r="F253" s="13" t="s">
        <v>216</v>
      </c>
    </row>
    <row r="254" spans="3:6" x14ac:dyDescent="0.3">
      <c r="C254" s="233">
        <v>251</v>
      </c>
      <c r="D254" s="11" t="s">
        <v>227</v>
      </c>
      <c r="E254" s="25">
        <v>2</v>
      </c>
      <c r="F254" s="9" t="s">
        <v>228</v>
      </c>
    </row>
    <row r="255" spans="3:6" x14ac:dyDescent="0.3">
      <c r="C255" s="11">
        <v>252</v>
      </c>
      <c r="D255" s="11" t="s">
        <v>227</v>
      </c>
      <c r="E255" s="25">
        <v>3</v>
      </c>
      <c r="F255" s="9" t="s">
        <v>229</v>
      </c>
    </row>
    <row r="256" spans="3:6" x14ac:dyDescent="0.3">
      <c r="C256" s="21">
        <v>253</v>
      </c>
      <c r="D256" s="11" t="s">
        <v>227</v>
      </c>
      <c r="E256" s="25">
        <v>4</v>
      </c>
      <c r="F256" s="223" t="s">
        <v>511</v>
      </c>
    </row>
    <row r="257" spans="3:6" x14ac:dyDescent="0.3">
      <c r="C257" s="233">
        <v>254</v>
      </c>
      <c r="D257" s="11" t="s">
        <v>227</v>
      </c>
      <c r="E257" s="25">
        <v>5</v>
      </c>
      <c r="F257" s="226" t="s">
        <v>514</v>
      </c>
    </row>
    <row r="258" spans="3:6" x14ac:dyDescent="0.3">
      <c r="C258" s="11">
        <v>255</v>
      </c>
      <c r="D258" s="11" t="s">
        <v>227</v>
      </c>
      <c r="E258" s="25">
        <v>6</v>
      </c>
      <c r="F258" s="226" t="s">
        <v>512</v>
      </c>
    </row>
    <row r="259" spans="3:6" x14ac:dyDescent="0.3">
      <c r="C259" s="21">
        <v>256</v>
      </c>
      <c r="D259" s="11" t="s">
        <v>227</v>
      </c>
      <c r="E259" s="25">
        <v>7</v>
      </c>
      <c r="F259" s="226" t="s">
        <v>513</v>
      </c>
    </row>
    <row r="260" spans="3:6" x14ac:dyDescent="0.3">
      <c r="C260" s="233">
        <v>257</v>
      </c>
      <c r="D260" s="11" t="s">
        <v>227</v>
      </c>
      <c r="E260" s="25">
        <v>8</v>
      </c>
      <c r="F260" s="226" t="s">
        <v>516</v>
      </c>
    </row>
    <row r="261" spans="3:6" x14ac:dyDescent="0.3">
      <c r="C261" s="11">
        <v>258</v>
      </c>
      <c r="D261" s="11" t="s">
        <v>227</v>
      </c>
      <c r="E261" s="25">
        <v>9</v>
      </c>
      <c r="F261" s="223" t="s">
        <v>515</v>
      </c>
    </row>
    <row r="262" spans="3:6" x14ac:dyDescent="0.3">
      <c r="C262" s="21">
        <v>259</v>
      </c>
      <c r="D262" s="11" t="s">
        <v>234</v>
      </c>
      <c r="E262" s="27"/>
      <c r="F262" s="12" t="s">
        <v>234</v>
      </c>
    </row>
    <row r="263" spans="3:6" x14ac:dyDescent="0.3">
      <c r="C263" s="233">
        <v>260</v>
      </c>
      <c r="D263" s="11" t="s">
        <v>234</v>
      </c>
      <c r="E263" s="25">
        <v>1</v>
      </c>
      <c r="F263" s="13" t="s">
        <v>216</v>
      </c>
    </row>
    <row r="264" spans="3:6" x14ac:dyDescent="0.3">
      <c r="C264" s="11">
        <v>261</v>
      </c>
      <c r="D264" s="11" t="s">
        <v>234</v>
      </c>
      <c r="E264" s="25">
        <v>2</v>
      </c>
      <c r="F264" s="221" t="s">
        <v>531</v>
      </c>
    </row>
    <row r="265" spans="3:6" x14ac:dyDescent="0.3">
      <c r="C265" s="21">
        <v>262</v>
      </c>
      <c r="D265" s="11" t="s">
        <v>230</v>
      </c>
      <c r="E265" s="27"/>
      <c r="F265" s="12" t="s">
        <v>230</v>
      </c>
    </row>
    <row r="266" spans="3:6" x14ac:dyDescent="0.3">
      <c r="C266" s="233">
        <v>263</v>
      </c>
      <c r="D266" s="11" t="s">
        <v>230</v>
      </c>
      <c r="E266" s="25">
        <v>1</v>
      </c>
      <c r="F266" s="13" t="s">
        <v>231</v>
      </c>
    </row>
    <row r="267" spans="3:6" x14ac:dyDescent="0.3">
      <c r="C267" s="11">
        <v>264</v>
      </c>
      <c r="D267" s="11" t="s">
        <v>230</v>
      </c>
      <c r="E267" s="25">
        <v>2</v>
      </c>
      <c r="F267" s="9" t="s">
        <v>232</v>
      </c>
    </row>
    <row r="268" spans="3:6" x14ac:dyDescent="0.3">
      <c r="C268" s="21">
        <v>265</v>
      </c>
      <c r="D268" s="11" t="s">
        <v>230</v>
      </c>
      <c r="E268" s="25">
        <v>3</v>
      </c>
      <c r="F268" s="221" t="s">
        <v>530</v>
      </c>
    </row>
    <row r="269" spans="3:6" ht="20.399999999999999" x14ac:dyDescent="0.3">
      <c r="C269" s="233">
        <v>266</v>
      </c>
      <c r="D269" s="11" t="s">
        <v>230</v>
      </c>
      <c r="E269" s="25">
        <v>4</v>
      </c>
      <c r="F269" s="221" t="s">
        <v>529</v>
      </c>
    </row>
    <row r="270" spans="3:6" x14ac:dyDescent="0.3">
      <c r="C270" s="11">
        <v>267</v>
      </c>
      <c r="D270" s="11" t="s">
        <v>230</v>
      </c>
      <c r="E270" s="25">
        <v>5</v>
      </c>
      <c r="F270" s="226" t="s">
        <v>528</v>
      </c>
    </row>
    <row r="271" spans="3:6" x14ac:dyDescent="0.3">
      <c r="C271" s="21">
        <v>268</v>
      </c>
      <c r="D271" s="11" t="s">
        <v>230</v>
      </c>
      <c r="E271" s="25">
        <v>6</v>
      </c>
      <c r="F271" s="226" t="s">
        <v>527</v>
      </c>
    </row>
    <row r="272" spans="3:6" x14ac:dyDescent="0.3">
      <c r="C272" s="233">
        <v>269</v>
      </c>
      <c r="D272" s="11" t="s">
        <v>230</v>
      </c>
      <c r="E272" s="25">
        <v>7</v>
      </c>
      <c r="F272" s="226" t="s">
        <v>526</v>
      </c>
    </row>
    <row r="273" spans="3:6" x14ac:dyDescent="0.3">
      <c r="C273" s="11">
        <v>270</v>
      </c>
      <c r="D273" s="11" t="s">
        <v>230</v>
      </c>
      <c r="E273" s="25">
        <v>8</v>
      </c>
      <c r="F273" s="226" t="s">
        <v>532</v>
      </c>
    </row>
    <row r="274" spans="3:6" x14ac:dyDescent="0.3">
      <c r="C274" s="21">
        <v>271</v>
      </c>
      <c r="D274" s="11" t="s">
        <v>230</v>
      </c>
      <c r="E274" s="25">
        <v>9</v>
      </c>
      <c r="F274" s="223" t="s">
        <v>533</v>
      </c>
    </row>
    <row r="275" spans="3:6" x14ac:dyDescent="0.3">
      <c r="C275" s="233">
        <v>272</v>
      </c>
      <c r="D275" s="11" t="s">
        <v>230</v>
      </c>
      <c r="E275" s="25">
        <v>10</v>
      </c>
      <c r="F275" s="223" t="s">
        <v>536</v>
      </c>
    </row>
    <row r="276" spans="3:6" x14ac:dyDescent="0.3">
      <c r="C276" s="11">
        <v>273</v>
      </c>
      <c r="D276" s="11" t="s">
        <v>230</v>
      </c>
      <c r="E276" s="25">
        <v>11</v>
      </c>
      <c r="F276" s="223" t="s">
        <v>559</v>
      </c>
    </row>
    <row r="277" spans="3:6" x14ac:dyDescent="0.3">
      <c r="C277" s="21">
        <v>274</v>
      </c>
      <c r="D277" s="11" t="s">
        <v>233</v>
      </c>
      <c r="E277" s="27"/>
      <c r="F277" s="12" t="s">
        <v>233</v>
      </c>
    </row>
    <row r="278" spans="3:6" x14ac:dyDescent="0.3">
      <c r="C278" s="233">
        <v>275</v>
      </c>
      <c r="D278" s="11" t="s">
        <v>233</v>
      </c>
      <c r="E278" s="25">
        <v>1</v>
      </c>
      <c r="F278" s="13" t="s">
        <v>235</v>
      </c>
    </row>
    <row r="279" spans="3:6" x14ac:dyDescent="0.3">
      <c r="C279" s="11">
        <v>276</v>
      </c>
      <c r="D279" s="11" t="s">
        <v>233</v>
      </c>
      <c r="E279" s="25">
        <v>2</v>
      </c>
      <c r="F279" s="13" t="s">
        <v>236</v>
      </c>
    </row>
    <row r="280" spans="3:6" x14ac:dyDescent="0.3">
      <c r="C280" s="21">
        <v>277</v>
      </c>
      <c r="D280" s="11" t="s">
        <v>233</v>
      </c>
      <c r="E280" s="225"/>
      <c r="F280" s="223" t="s">
        <v>534</v>
      </c>
    </row>
    <row r="281" spans="3:6" x14ac:dyDescent="0.3">
      <c r="C281" s="233">
        <v>278</v>
      </c>
      <c r="D281" s="222" t="s">
        <v>535</v>
      </c>
      <c r="E281" s="27"/>
      <c r="F281" s="12" t="s">
        <v>535</v>
      </c>
    </row>
    <row r="282" spans="3:6" x14ac:dyDescent="0.3">
      <c r="C282" s="11">
        <v>279</v>
      </c>
      <c r="D282" s="222" t="s">
        <v>535</v>
      </c>
      <c r="E282" s="25">
        <v>1</v>
      </c>
      <c r="F282" s="223" t="s">
        <v>539</v>
      </c>
    </row>
    <row r="283" spans="3:6" x14ac:dyDescent="0.3">
      <c r="C283" s="21">
        <v>280</v>
      </c>
      <c r="D283" s="222" t="s">
        <v>535</v>
      </c>
      <c r="E283" s="25">
        <v>2</v>
      </c>
      <c r="F283" s="223" t="s">
        <v>538</v>
      </c>
    </row>
    <row r="284" spans="3:6" x14ac:dyDescent="0.3">
      <c r="C284" s="233">
        <v>281</v>
      </c>
      <c r="D284" s="222" t="s">
        <v>535</v>
      </c>
      <c r="E284" s="225">
        <v>3</v>
      </c>
      <c r="F284" s="226" t="s">
        <v>537</v>
      </c>
    </row>
    <row r="285" spans="3:6" x14ac:dyDescent="0.3">
      <c r="C285" s="11">
        <v>282</v>
      </c>
      <c r="D285" s="222" t="s">
        <v>535</v>
      </c>
      <c r="E285" s="225">
        <v>4</v>
      </c>
      <c r="F285" s="223" t="s">
        <v>540</v>
      </c>
    </row>
    <row r="286" spans="3:6" x14ac:dyDescent="0.3">
      <c r="C286" s="21">
        <v>283</v>
      </c>
      <c r="D286" s="11" t="s">
        <v>24</v>
      </c>
      <c r="E286" s="27"/>
      <c r="F286" s="12" t="s">
        <v>24</v>
      </c>
    </row>
    <row r="287" spans="3:6" x14ac:dyDescent="0.3">
      <c r="C287" s="233">
        <v>284</v>
      </c>
      <c r="D287" s="11" t="s">
        <v>24</v>
      </c>
      <c r="E287" s="25">
        <v>1</v>
      </c>
      <c r="F287" s="13" t="s">
        <v>25</v>
      </c>
    </row>
    <row r="288" spans="3:6" x14ac:dyDescent="0.3">
      <c r="C288" s="11">
        <v>285</v>
      </c>
      <c r="D288" s="11" t="s">
        <v>24</v>
      </c>
      <c r="E288" s="25">
        <v>2</v>
      </c>
      <c r="F288" s="13" t="s">
        <v>26</v>
      </c>
    </row>
    <row r="289" spans="3:6" x14ac:dyDescent="0.3">
      <c r="C289" s="21">
        <v>286</v>
      </c>
      <c r="D289" s="11" t="s">
        <v>24</v>
      </c>
      <c r="E289" s="25">
        <v>3</v>
      </c>
      <c r="F289" s="13" t="s">
        <v>27</v>
      </c>
    </row>
    <row r="290" spans="3:6" ht="20.399999999999999" x14ac:dyDescent="0.3">
      <c r="C290" s="233">
        <v>287</v>
      </c>
      <c r="D290" s="11" t="s">
        <v>24</v>
      </c>
      <c r="E290" s="25">
        <v>4</v>
      </c>
      <c r="F290" s="13" t="s">
        <v>28</v>
      </c>
    </row>
    <row r="291" spans="3:6" x14ac:dyDescent="0.3">
      <c r="C291" s="11">
        <v>288</v>
      </c>
      <c r="D291" s="11" t="s">
        <v>24</v>
      </c>
      <c r="E291" s="25">
        <v>5</v>
      </c>
      <c r="F291" s="13" t="s">
        <v>29</v>
      </c>
    </row>
    <row r="292" spans="3:6" x14ac:dyDescent="0.3">
      <c r="C292" s="21">
        <v>289</v>
      </c>
      <c r="D292" s="11" t="s">
        <v>24</v>
      </c>
      <c r="E292" s="25">
        <v>6</v>
      </c>
      <c r="F292" s="13" t="s">
        <v>30</v>
      </c>
    </row>
    <row r="293" spans="3:6" ht="20.399999999999999" x14ac:dyDescent="0.3">
      <c r="C293" s="233">
        <v>290</v>
      </c>
      <c r="D293" s="11" t="s">
        <v>24</v>
      </c>
      <c r="E293" s="25">
        <v>7</v>
      </c>
      <c r="F293" s="223" t="s">
        <v>437</v>
      </c>
    </row>
    <row r="294" spans="3:6" x14ac:dyDescent="0.3">
      <c r="C294" s="11">
        <v>291</v>
      </c>
      <c r="D294" s="11" t="s">
        <v>237</v>
      </c>
      <c r="E294" s="27"/>
      <c r="F294" s="12" t="s">
        <v>237</v>
      </c>
    </row>
    <row r="295" spans="3:6" x14ac:dyDescent="0.3">
      <c r="C295" s="21">
        <v>292</v>
      </c>
      <c r="D295" s="11" t="s">
        <v>237</v>
      </c>
      <c r="E295" s="25">
        <v>1</v>
      </c>
      <c r="F295" s="13" t="s">
        <v>25</v>
      </c>
    </row>
    <row r="296" spans="3:6" x14ac:dyDescent="0.3">
      <c r="C296" s="233">
        <v>293</v>
      </c>
      <c r="D296" s="11" t="s">
        <v>237</v>
      </c>
      <c r="E296" s="25">
        <v>2</v>
      </c>
      <c r="F296" s="13" t="s">
        <v>26</v>
      </c>
    </row>
    <row r="297" spans="3:6" x14ac:dyDescent="0.3">
      <c r="C297" s="11">
        <v>294</v>
      </c>
      <c r="D297" s="11" t="s">
        <v>237</v>
      </c>
      <c r="E297" s="25">
        <v>3</v>
      </c>
      <c r="F297" s="13" t="s">
        <v>27</v>
      </c>
    </row>
    <row r="298" spans="3:6" x14ac:dyDescent="0.3">
      <c r="C298" s="21">
        <v>295</v>
      </c>
      <c r="D298" s="11" t="s">
        <v>237</v>
      </c>
      <c r="E298" s="25">
        <v>4</v>
      </c>
      <c r="F298" s="13" t="s">
        <v>114</v>
      </c>
    </row>
    <row r="299" spans="3:6" x14ac:dyDescent="0.3">
      <c r="C299" s="233">
        <v>296</v>
      </c>
      <c r="D299" s="11" t="s">
        <v>237</v>
      </c>
      <c r="E299" s="25">
        <v>5</v>
      </c>
      <c r="F299" s="13" t="s">
        <v>30</v>
      </c>
    </row>
    <row r="300" spans="3:6" x14ac:dyDescent="0.3">
      <c r="C300" s="11">
        <v>297</v>
      </c>
      <c r="D300" s="11" t="s">
        <v>238</v>
      </c>
      <c r="E300" s="27"/>
      <c r="F300" s="12" t="s">
        <v>238</v>
      </c>
    </row>
    <row r="301" spans="3:6" x14ac:dyDescent="0.3">
      <c r="C301" s="21">
        <v>298</v>
      </c>
      <c r="D301" s="11" t="s">
        <v>238</v>
      </c>
      <c r="E301" s="25">
        <v>1</v>
      </c>
      <c r="F301" s="13" t="s">
        <v>239</v>
      </c>
    </row>
    <row r="302" spans="3:6" x14ac:dyDescent="0.3">
      <c r="C302" s="233">
        <v>299</v>
      </c>
      <c r="D302" s="11" t="s">
        <v>240</v>
      </c>
      <c r="E302" s="28"/>
      <c r="F302" s="12" t="s">
        <v>240</v>
      </c>
    </row>
    <row r="303" spans="3:6" x14ac:dyDescent="0.3">
      <c r="C303" s="11">
        <v>300</v>
      </c>
      <c r="D303" s="11" t="s">
        <v>240</v>
      </c>
      <c r="E303" s="25">
        <v>1</v>
      </c>
      <c r="F303" s="13" t="s">
        <v>241</v>
      </c>
    </row>
    <row r="304" spans="3:6" x14ac:dyDescent="0.3">
      <c r="C304" s="21">
        <v>301</v>
      </c>
      <c r="D304" s="11" t="s">
        <v>242</v>
      </c>
      <c r="E304" s="28"/>
      <c r="F304" s="12" t="s">
        <v>242</v>
      </c>
    </row>
    <row r="305" spans="3:6" x14ac:dyDescent="0.3">
      <c r="C305" s="233">
        <v>302</v>
      </c>
      <c r="D305" s="11" t="s">
        <v>242</v>
      </c>
      <c r="E305" s="25">
        <v>1</v>
      </c>
      <c r="F305" s="13" t="s">
        <v>243</v>
      </c>
    </row>
    <row r="306" spans="3:6" x14ac:dyDescent="0.3">
      <c r="C306" s="11">
        <v>303</v>
      </c>
      <c r="D306" s="11" t="s">
        <v>242</v>
      </c>
      <c r="E306" s="25">
        <v>2</v>
      </c>
      <c r="F306" s="9" t="s">
        <v>244</v>
      </c>
    </row>
    <row r="307" spans="3:6" x14ac:dyDescent="0.3">
      <c r="C307" s="21">
        <v>304</v>
      </c>
      <c r="D307" s="11" t="s">
        <v>245</v>
      </c>
      <c r="E307" s="28"/>
      <c r="F307" s="12" t="s">
        <v>245</v>
      </c>
    </row>
    <row r="308" spans="3:6" x14ac:dyDescent="0.3">
      <c r="C308" s="233">
        <v>305</v>
      </c>
      <c r="D308" s="11" t="s">
        <v>245</v>
      </c>
      <c r="E308" s="25">
        <v>1</v>
      </c>
      <c r="F308" s="13" t="s">
        <v>239</v>
      </c>
    </row>
    <row r="309" spans="3:6" x14ac:dyDescent="0.3">
      <c r="C309" s="11">
        <v>306</v>
      </c>
      <c r="D309" s="33" t="s">
        <v>292</v>
      </c>
      <c r="E309" s="34"/>
      <c r="F309" s="12" t="s">
        <v>292</v>
      </c>
    </row>
    <row r="310" spans="3:6" x14ac:dyDescent="0.3">
      <c r="C310" s="21">
        <v>307</v>
      </c>
      <c r="D310" s="33" t="s">
        <v>292</v>
      </c>
      <c r="E310" s="34">
        <v>1</v>
      </c>
      <c r="F310" s="13" t="s">
        <v>293</v>
      </c>
    </row>
    <row r="311" spans="3:6" x14ac:dyDescent="0.3">
      <c r="C311" s="233">
        <v>308</v>
      </c>
      <c r="D311" s="33" t="s">
        <v>292</v>
      </c>
      <c r="E311" s="34">
        <v>2</v>
      </c>
      <c r="F311" s="13" t="s">
        <v>294</v>
      </c>
    </row>
    <row r="312" spans="3:6" x14ac:dyDescent="0.3">
      <c r="C312" s="11">
        <v>309</v>
      </c>
      <c r="D312" s="33" t="s">
        <v>292</v>
      </c>
      <c r="E312" s="34">
        <v>3</v>
      </c>
      <c r="F312" s="13" t="s">
        <v>295</v>
      </c>
    </row>
    <row r="313" spans="3:6" x14ac:dyDescent="0.3">
      <c r="C313" s="21">
        <v>310</v>
      </c>
      <c r="D313" s="33" t="s">
        <v>292</v>
      </c>
      <c r="E313" s="34">
        <v>4</v>
      </c>
      <c r="F313" s="13" t="s">
        <v>296</v>
      </c>
    </row>
    <row r="314" spans="3:6" x14ac:dyDescent="0.3">
      <c r="C314" s="233">
        <v>311</v>
      </c>
      <c r="D314" s="33" t="s">
        <v>292</v>
      </c>
      <c r="E314" s="225"/>
      <c r="F314" s="223" t="s">
        <v>510</v>
      </c>
    </row>
    <row r="315" spans="3:6" x14ac:dyDescent="0.3">
      <c r="C315" s="11">
        <v>312</v>
      </c>
      <c r="D315" s="11" t="s">
        <v>246</v>
      </c>
      <c r="E315" s="28"/>
      <c r="F315" s="12" t="s">
        <v>246</v>
      </c>
    </row>
    <row r="316" spans="3:6" x14ac:dyDescent="0.3">
      <c r="C316" s="21">
        <v>313</v>
      </c>
      <c r="D316" s="11" t="s">
        <v>246</v>
      </c>
      <c r="E316" s="25">
        <v>1</v>
      </c>
      <c r="F316" s="13" t="s">
        <v>247</v>
      </c>
    </row>
    <row r="317" spans="3:6" x14ac:dyDescent="0.3">
      <c r="C317" s="233">
        <v>314</v>
      </c>
      <c r="D317" s="11" t="s">
        <v>246</v>
      </c>
      <c r="E317" s="25">
        <v>2</v>
      </c>
      <c r="F317" s="9" t="s">
        <v>248</v>
      </c>
    </row>
    <row r="318" spans="3:6" x14ac:dyDescent="0.3">
      <c r="C318" s="11">
        <v>315</v>
      </c>
      <c r="D318" s="11" t="s">
        <v>246</v>
      </c>
      <c r="E318" s="25">
        <v>3</v>
      </c>
      <c r="F318" s="9" t="s">
        <v>249</v>
      </c>
    </row>
    <row r="319" spans="3:6" x14ac:dyDescent="0.3">
      <c r="C319" s="21">
        <v>316</v>
      </c>
      <c r="D319" s="11" t="s">
        <v>246</v>
      </c>
      <c r="E319" s="25">
        <v>4</v>
      </c>
      <c r="F319" s="9" t="s">
        <v>250</v>
      </c>
    </row>
    <row r="320" spans="3:6" x14ac:dyDescent="0.3">
      <c r="C320" s="233">
        <v>317</v>
      </c>
      <c r="D320" s="11" t="s">
        <v>246</v>
      </c>
      <c r="E320" s="25">
        <v>5</v>
      </c>
      <c r="F320" s="9" t="s">
        <v>251</v>
      </c>
    </row>
    <row r="321" spans="3:6" x14ac:dyDescent="0.3">
      <c r="C321" s="11">
        <v>318</v>
      </c>
      <c r="D321" s="11" t="s">
        <v>246</v>
      </c>
      <c r="E321" s="25">
        <v>6</v>
      </c>
      <c r="F321" s="221" t="s">
        <v>438</v>
      </c>
    </row>
    <row r="322" spans="3:6" x14ac:dyDescent="0.3">
      <c r="C322" s="21">
        <v>319</v>
      </c>
      <c r="D322" s="11" t="s">
        <v>246</v>
      </c>
      <c r="E322" s="25">
        <v>7</v>
      </c>
      <c r="F322" s="221" t="s">
        <v>439</v>
      </c>
    </row>
    <row r="323" spans="3:6" x14ac:dyDescent="0.3">
      <c r="C323" s="233">
        <v>320</v>
      </c>
      <c r="D323" s="11" t="s">
        <v>252</v>
      </c>
      <c r="E323" s="28"/>
      <c r="F323" s="12" t="s">
        <v>252</v>
      </c>
    </row>
    <row r="324" spans="3:6" x14ac:dyDescent="0.3">
      <c r="C324" s="11">
        <v>321</v>
      </c>
      <c r="D324" s="222" t="s">
        <v>252</v>
      </c>
      <c r="E324" s="25">
        <v>1</v>
      </c>
      <c r="F324" s="223" t="s">
        <v>541</v>
      </c>
    </row>
    <row r="325" spans="3:6" x14ac:dyDescent="0.3">
      <c r="C325" s="21">
        <v>322</v>
      </c>
      <c r="D325" s="222" t="s">
        <v>252</v>
      </c>
      <c r="E325" s="225">
        <v>2</v>
      </c>
      <c r="F325" s="227" t="s">
        <v>542</v>
      </c>
    </row>
    <row r="326" spans="3:6" x14ac:dyDescent="0.3">
      <c r="C326" s="233">
        <v>323</v>
      </c>
      <c r="D326" s="222" t="s">
        <v>252</v>
      </c>
      <c r="E326" s="225">
        <v>3</v>
      </c>
      <c r="F326" s="227" t="s">
        <v>543</v>
      </c>
    </row>
    <row r="327" spans="3:6" ht="30.6" x14ac:dyDescent="0.3">
      <c r="C327" s="11">
        <v>324</v>
      </c>
      <c r="D327" s="11" t="s">
        <v>252</v>
      </c>
      <c r="E327" s="25">
        <v>4</v>
      </c>
      <c r="F327" s="9" t="s">
        <v>253</v>
      </c>
    </row>
    <row r="328" spans="3:6" x14ac:dyDescent="0.3">
      <c r="C328" s="21">
        <v>325</v>
      </c>
      <c r="D328" s="11" t="s">
        <v>252</v>
      </c>
      <c r="E328" s="25">
        <v>5</v>
      </c>
      <c r="F328" s="223" t="s">
        <v>429</v>
      </c>
    </row>
    <row r="329" spans="3:6" x14ac:dyDescent="0.3">
      <c r="C329" s="233">
        <v>326</v>
      </c>
      <c r="D329" s="11" t="s">
        <v>252</v>
      </c>
      <c r="E329" s="25">
        <v>6</v>
      </c>
      <c r="F329" s="223" t="s">
        <v>430</v>
      </c>
    </row>
    <row r="330" spans="3:6" x14ac:dyDescent="0.3">
      <c r="C330" s="11">
        <v>327</v>
      </c>
      <c r="D330" s="11" t="s">
        <v>252</v>
      </c>
      <c r="E330" s="25">
        <v>7</v>
      </c>
      <c r="F330" s="221" t="s">
        <v>431</v>
      </c>
    </row>
    <row r="331" spans="3:6" x14ac:dyDescent="0.3">
      <c r="C331" s="21">
        <v>328</v>
      </c>
      <c r="D331" s="11" t="s">
        <v>252</v>
      </c>
      <c r="E331" s="225">
        <v>8</v>
      </c>
      <c r="F331" s="223" t="s">
        <v>544</v>
      </c>
    </row>
    <row r="332" spans="3:6" x14ac:dyDescent="0.3">
      <c r="C332" s="233">
        <v>329</v>
      </c>
      <c r="D332" s="11" t="s">
        <v>254</v>
      </c>
      <c r="E332" s="28"/>
      <c r="F332" s="12" t="s">
        <v>254</v>
      </c>
    </row>
    <row r="333" spans="3:6" x14ac:dyDescent="0.3">
      <c r="C333" s="11">
        <v>330</v>
      </c>
      <c r="D333" s="11" t="s">
        <v>254</v>
      </c>
      <c r="E333" s="25">
        <v>1</v>
      </c>
      <c r="F333" s="13" t="s">
        <v>255</v>
      </c>
    </row>
    <row r="334" spans="3:6" ht="20.399999999999999" x14ac:dyDescent="0.3">
      <c r="C334" s="21">
        <v>331</v>
      </c>
      <c r="D334" s="11" t="s">
        <v>254</v>
      </c>
      <c r="E334" s="25">
        <v>2</v>
      </c>
      <c r="F334" s="19" t="s">
        <v>23</v>
      </c>
    </row>
    <row r="335" spans="3:6" x14ac:dyDescent="0.3">
      <c r="C335" s="233">
        <v>332</v>
      </c>
      <c r="D335" s="222" t="s">
        <v>549</v>
      </c>
      <c r="E335" s="28"/>
      <c r="F335" s="12" t="s">
        <v>256</v>
      </c>
    </row>
    <row r="336" spans="3:6" x14ac:dyDescent="0.3">
      <c r="C336" s="11">
        <v>333</v>
      </c>
      <c r="D336" s="222" t="s">
        <v>549</v>
      </c>
      <c r="E336" s="25">
        <v>1</v>
      </c>
      <c r="F336" s="13" t="s">
        <v>257</v>
      </c>
    </row>
    <row r="337" spans="3:6" x14ac:dyDescent="0.3">
      <c r="C337" s="21">
        <v>334</v>
      </c>
      <c r="D337" s="222" t="s">
        <v>549</v>
      </c>
      <c r="E337" s="25">
        <v>2</v>
      </c>
      <c r="F337" s="13" t="s">
        <v>258</v>
      </c>
    </row>
    <row r="338" spans="3:6" x14ac:dyDescent="0.3">
      <c r="C338" s="233">
        <v>335</v>
      </c>
      <c r="D338" s="222" t="s">
        <v>549</v>
      </c>
      <c r="E338" s="25">
        <v>3</v>
      </c>
      <c r="F338" s="10" t="s">
        <v>259</v>
      </c>
    </row>
    <row r="339" spans="3:6" x14ac:dyDescent="0.3">
      <c r="C339" s="11">
        <v>336</v>
      </c>
      <c r="D339" s="222" t="s">
        <v>549</v>
      </c>
      <c r="E339" s="25">
        <v>4</v>
      </c>
      <c r="F339" s="10" t="s">
        <v>260</v>
      </c>
    </row>
    <row r="340" spans="3:6" x14ac:dyDescent="0.3">
      <c r="C340" s="21">
        <v>337</v>
      </c>
      <c r="D340" s="222" t="s">
        <v>549</v>
      </c>
      <c r="E340" s="25">
        <v>5</v>
      </c>
      <c r="F340" s="10" t="s">
        <v>261</v>
      </c>
    </row>
    <row r="341" spans="3:6" x14ac:dyDescent="0.3">
      <c r="C341" s="233">
        <v>338</v>
      </c>
      <c r="D341" s="222" t="s">
        <v>549</v>
      </c>
      <c r="E341" s="25">
        <v>6</v>
      </c>
      <c r="F341" s="220" t="s">
        <v>547</v>
      </c>
    </row>
    <row r="342" spans="3:6" x14ac:dyDescent="0.3">
      <c r="C342" s="11">
        <v>339</v>
      </c>
      <c r="D342" s="222" t="s">
        <v>549</v>
      </c>
      <c r="E342" s="225">
        <v>7</v>
      </c>
      <c r="F342" s="226" t="s">
        <v>546</v>
      </c>
    </row>
    <row r="343" spans="3:6" x14ac:dyDescent="0.3">
      <c r="C343" s="21">
        <v>340</v>
      </c>
      <c r="D343" s="222" t="s">
        <v>549</v>
      </c>
      <c r="E343" s="225">
        <v>8</v>
      </c>
      <c r="F343" s="223" t="s">
        <v>545</v>
      </c>
    </row>
    <row r="344" spans="3:6" x14ac:dyDescent="0.3">
      <c r="C344" s="233">
        <v>341</v>
      </c>
      <c r="D344" s="222" t="s">
        <v>549</v>
      </c>
      <c r="E344" s="225">
        <v>9</v>
      </c>
      <c r="F344" s="223" t="s">
        <v>548</v>
      </c>
    </row>
    <row r="345" spans="3:6" x14ac:dyDescent="0.3">
      <c r="C345" s="11">
        <v>342</v>
      </c>
      <c r="D345" s="11" t="s">
        <v>262</v>
      </c>
      <c r="E345" s="28"/>
      <c r="F345" s="12" t="s">
        <v>262</v>
      </c>
    </row>
    <row r="346" spans="3:6" x14ac:dyDescent="0.3">
      <c r="C346" s="21">
        <v>343</v>
      </c>
      <c r="D346" s="11" t="s">
        <v>262</v>
      </c>
      <c r="E346" s="25">
        <v>1</v>
      </c>
      <c r="F346" s="13" t="s">
        <v>263</v>
      </c>
    </row>
    <row r="347" spans="3:6" x14ac:dyDescent="0.3">
      <c r="C347" s="233">
        <v>344</v>
      </c>
      <c r="D347" s="11" t="s">
        <v>262</v>
      </c>
      <c r="E347" s="25">
        <v>2</v>
      </c>
      <c r="F347" s="13" t="s">
        <v>264</v>
      </c>
    </row>
    <row r="348" spans="3:6" x14ac:dyDescent="0.3">
      <c r="C348" s="11">
        <v>345</v>
      </c>
      <c r="D348" s="11" t="s">
        <v>262</v>
      </c>
      <c r="E348" s="25">
        <v>3</v>
      </c>
      <c r="F348" s="13" t="s">
        <v>265</v>
      </c>
    </row>
    <row r="349" spans="3:6" ht="20.399999999999999" x14ac:dyDescent="0.3">
      <c r="C349" s="21">
        <v>346</v>
      </c>
      <c r="D349" s="11" t="s">
        <v>262</v>
      </c>
      <c r="E349" s="25">
        <v>4</v>
      </c>
      <c r="F349" s="13" t="s">
        <v>266</v>
      </c>
    </row>
    <row r="350" spans="3:6" x14ac:dyDescent="0.3">
      <c r="C350" s="233">
        <v>347</v>
      </c>
      <c r="D350" s="11" t="s">
        <v>262</v>
      </c>
      <c r="E350" s="25">
        <v>5</v>
      </c>
      <c r="F350" s="13" t="s">
        <v>267</v>
      </c>
    </row>
    <row r="351" spans="3:6" x14ac:dyDescent="0.3">
      <c r="C351" s="11">
        <v>348</v>
      </c>
      <c r="D351" s="11" t="s">
        <v>262</v>
      </c>
      <c r="E351" s="25">
        <v>6</v>
      </c>
      <c r="F351" s="13" t="s">
        <v>268</v>
      </c>
    </row>
    <row r="352" spans="3:6" ht="20.399999999999999" x14ac:dyDescent="0.3">
      <c r="C352" s="21">
        <v>349</v>
      </c>
      <c r="D352" s="11" t="s">
        <v>262</v>
      </c>
      <c r="E352" s="25">
        <v>7</v>
      </c>
      <c r="F352" s="13" t="s">
        <v>269</v>
      </c>
    </row>
    <row r="353" spans="3:6" x14ac:dyDescent="0.3">
      <c r="C353" s="233">
        <v>350</v>
      </c>
      <c r="D353" s="11" t="s">
        <v>262</v>
      </c>
      <c r="E353" s="25">
        <v>8</v>
      </c>
      <c r="F353" s="13" t="s">
        <v>270</v>
      </c>
    </row>
    <row r="354" spans="3:6" ht="20.399999999999999" x14ac:dyDescent="0.3">
      <c r="C354" s="11">
        <v>351</v>
      </c>
      <c r="D354" s="11" t="s">
        <v>262</v>
      </c>
      <c r="E354" s="25">
        <v>9</v>
      </c>
      <c r="F354" s="13" t="s">
        <v>271</v>
      </c>
    </row>
    <row r="355" spans="3:6" x14ac:dyDescent="0.3">
      <c r="C355" s="21">
        <v>352</v>
      </c>
      <c r="D355" s="11" t="s">
        <v>262</v>
      </c>
      <c r="E355" s="25">
        <v>10</v>
      </c>
      <c r="F355" s="13" t="s">
        <v>272</v>
      </c>
    </row>
    <row r="356" spans="3:6" x14ac:dyDescent="0.3">
      <c r="C356" s="233">
        <v>353</v>
      </c>
      <c r="D356" s="11" t="s">
        <v>262</v>
      </c>
      <c r="E356" s="25">
        <v>11</v>
      </c>
      <c r="F356" s="13" t="s">
        <v>273</v>
      </c>
    </row>
    <row r="357" spans="3:6" x14ac:dyDescent="0.3">
      <c r="C357" s="11">
        <v>354</v>
      </c>
      <c r="D357" s="11" t="s">
        <v>262</v>
      </c>
      <c r="E357" s="25">
        <v>12</v>
      </c>
      <c r="F357" s="13" t="s">
        <v>274</v>
      </c>
    </row>
    <row r="358" spans="3:6" x14ac:dyDescent="0.3">
      <c r="C358" s="21">
        <v>355</v>
      </c>
      <c r="D358" s="11" t="s">
        <v>262</v>
      </c>
      <c r="E358" s="25">
        <v>13</v>
      </c>
      <c r="F358" s="223" t="s">
        <v>553</v>
      </c>
    </row>
    <row r="359" spans="3:6" x14ac:dyDescent="0.3">
      <c r="C359" s="233">
        <v>356</v>
      </c>
      <c r="D359" s="11" t="s">
        <v>262</v>
      </c>
      <c r="E359" s="225">
        <v>14</v>
      </c>
      <c r="F359" s="226" t="s">
        <v>552</v>
      </c>
    </row>
    <row r="360" spans="3:6" x14ac:dyDescent="0.3">
      <c r="C360" s="11">
        <v>357</v>
      </c>
      <c r="D360" s="11" t="s">
        <v>262</v>
      </c>
      <c r="E360" s="225">
        <v>15</v>
      </c>
      <c r="F360" s="226" t="s">
        <v>551</v>
      </c>
    </row>
    <row r="361" spans="3:6" x14ac:dyDescent="0.3">
      <c r="C361" s="21">
        <v>358</v>
      </c>
      <c r="D361" s="11" t="s">
        <v>262</v>
      </c>
      <c r="E361" s="225">
        <v>16</v>
      </c>
      <c r="F361" s="223" t="s">
        <v>550</v>
      </c>
    </row>
    <row r="362" spans="3:6" x14ac:dyDescent="0.3">
      <c r="C362" s="233">
        <v>359</v>
      </c>
      <c r="D362" s="11" t="s">
        <v>275</v>
      </c>
      <c r="E362" s="28"/>
      <c r="F362" s="12" t="s">
        <v>275</v>
      </c>
    </row>
    <row r="363" spans="3:6" x14ac:dyDescent="0.3">
      <c r="C363" s="11">
        <v>360</v>
      </c>
      <c r="D363" s="11" t="s">
        <v>275</v>
      </c>
      <c r="E363" s="25">
        <v>1</v>
      </c>
      <c r="F363" s="13" t="s">
        <v>276</v>
      </c>
    </row>
    <row r="364" spans="3:6" x14ac:dyDescent="0.3">
      <c r="C364" s="21">
        <v>361</v>
      </c>
      <c r="D364" s="11" t="s">
        <v>275</v>
      </c>
      <c r="E364" s="25">
        <v>2</v>
      </c>
      <c r="F364" s="13" t="s">
        <v>277</v>
      </c>
    </row>
    <row r="365" spans="3:6" x14ac:dyDescent="0.3">
      <c r="C365" s="233">
        <v>362</v>
      </c>
      <c r="D365" s="11" t="s">
        <v>275</v>
      </c>
      <c r="E365" s="25">
        <v>3</v>
      </c>
      <c r="F365" s="13" t="s">
        <v>278</v>
      </c>
    </row>
    <row r="366" spans="3:6" x14ac:dyDescent="0.3">
      <c r="C366" s="11">
        <v>363</v>
      </c>
      <c r="D366" s="11" t="s">
        <v>275</v>
      </c>
      <c r="E366" s="25">
        <v>4</v>
      </c>
      <c r="F366" s="13" t="s">
        <v>279</v>
      </c>
    </row>
    <row r="367" spans="3:6" x14ac:dyDescent="0.3">
      <c r="C367" s="21">
        <v>364</v>
      </c>
      <c r="D367" s="11" t="s">
        <v>275</v>
      </c>
      <c r="E367" s="25">
        <v>5</v>
      </c>
      <c r="F367" s="13" t="s">
        <v>280</v>
      </c>
    </row>
    <row r="368" spans="3:6" x14ac:dyDescent="0.3">
      <c r="C368" s="233">
        <v>365</v>
      </c>
      <c r="D368" s="11" t="s">
        <v>275</v>
      </c>
      <c r="E368" s="25">
        <v>6</v>
      </c>
      <c r="F368" s="13" t="s">
        <v>281</v>
      </c>
    </row>
    <row r="369" spans="3:6" x14ac:dyDescent="0.3">
      <c r="C369" s="11">
        <v>366</v>
      </c>
      <c r="D369" s="11" t="s">
        <v>275</v>
      </c>
      <c r="E369" s="25">
        <v>7</v>
      </c>
      <c r="F369" s="13" t="s">
        <v>282</v>
      </c>
    </row>
    <row r="370" spans="3:6" x14ac:dyDescent="0.3">
      <c r="C370" s="21">
        <v>367</v>
      </c>
      <c r="D370" s="11" t="s">
        <v>275</v>
      </c>
      <c r="E370" s="25">
        <v>8</v>
      </c>
      <c r="F370" s="13" t="s">
        <v>283</v>
      </c>
    </row>
    <row r="371" spans="3:6" x14ac:dyDescent="0.3">
      <c r="C371" s="233">
        <v>368</v>
      </c>
      <c r="D371" s="11" t="s">
        <v>275</v>
      </c>
      <c r="E371" s="25">
        <v>9</v>
      </c>
      <c r="F371" s="13" t="s">
        <v>284</v>
      </c>
    </row>
    <row r="372" spans="3:6" x14ac:dyDescent="0.3">
      <c r="C372" s="11">
        <v>369</v>
      </c>
      <c r="D372" s="11" t="s">
        <v>275</v>
      </c>
      <c r="E372" s="25">
        <v>10</v>
      </c>
      <c r="F372" s="13" t="s">
        <v>285</v>
      </c>
    </row>
    <row r="373" spans="3:6" x14ac:dyDescent="0.3">
      <c r="C373" s="21">
        <v>370</v>
      </c>
      <c r="D373" s="11" t="s">
        <v>275</v>
      </c>
      <c r="E373" s="25">
        <v>11</v>
      </c>
      <c r="F373" s="13" t="s">
        <v>286</v>
      </c>
    </row>
  </sheetData>
  <sheetProtection sheet="1" insertHyperlinks="0" autoFilter="0" pivotTables="0"/>
  <mergeCells count="1">
    <mergeCell ref="B1:G1"/>
  </mergeCells>
  <phoneticPr fontId="12" type="noConversion"/>
  <conditionalFormatting sqref="E4 E7 E19 E27 E33 E374:E1048576">
    <cfRule type="cellIs" dxfId="71" priority="43" operator="equal">
      <formula>0</formula>
    </cfRule>
  </conditionalFormatting>
  <conditionalFormatting sqref="E16">
    <cfRule type="cellIs" dxfId="70" priority="3" operator="equal">
      <formula>0</formula>
    </cfRule>
  </conditionalFormatting>
  <conditionalFormatting sqref="E50">
    <cfRule type="cellIs" dxfId="69" priority="41" operator="equal">
      <formula>0</formula>
    </cfRule>
  </conditionalFormatting>
  <conditionalFormatting sqref="E55">
    <cfRule type="cellIs" dxfId="68" priority="5" operator="equal">
      <formula>0</formula>
    </cfRule>
  </conditionalFormatting>
  <conditionalFormatting sqref="E60">
    <cfRule type="cellIs" dxfId="67" priority="40" operator="equal">
      <formula>0</formula>
    </cfRule>
  </conditionalFormatting>
  <conditionalFormatting sqref="E78">
    <cfRule type="cellIs" dxfId="66" priority="39" operator="equal">
      <formula>0</formula>
    </cfRule>
  </conditionalFormatting>
  <conditionalFormatting sqref="E121">
    <cfRule type="cellIs" dxfId="65" priority="38" operator="equal">
      <formula>0</formula>
    </cfRule>
  </conditionalFormatting>
  <conditionalFormatting sqref="E127">
    <cfRule type="cellIs" dxfId="64" priority="37" operator="equal">
      <formula>0</formula>
    </cfRule>
  </conditionalFormatting>
  <conditionalFormatting sqref="E134">
    <cfRule type="cellIs" dxfId="63" priority="36" operator="equal">
      <formula>0</formula>
    </cfRule>
  </conditionalFormatting>
  <conditionalFormatting sqref="E143">
    <cfRule type="cellIs" dxfId="62" priority="35" operator="equal">
      <formula>0</formula>
    </cfRule>
  </conditionalFormatting>
  <conditionalFormatting sqref="E151">
    <cfRule type="cellIs" dxfId="61" priority="34" operator="equal">
      <formula>0</formula>
    </cfRule>
  </conditionalFormatting>
  <conditionalFormatting sqref="E162">
    <cfRule type="cellIs" dxfId="60" priority="33" operator="equal">
      <formula>0</formula>
    </cfRule>
  </conditionalFormatting>
  <conditionalFormatting sqref="E173">
    <cfRule type="cellIs" dxfId="59" priority="2" operator="equal">
      <formula>0</formula>
    </cfRule>
  </conditionalFormatting>
  <conditionalFormatting sqref="E177">
    <cfRule type="cellIs" dxfId="58" priority="32" operator="equal">
      <formula>0</formula>
    </cfRule>
  </conditionalFormatting>
  <conditionalFormatting sqref="E186">
    <cfRule type="cellIs" dxfId="57" priority="31" operator="equal">
      <formula>0</formula>
    </cfRule>
  </conditionalFormatting>
  <conditionalFormatting sqref="E194">
    <cfRule type="cellIs" dxfId="56" priority="30" operator="equal">
      <formula>0</formula>
    </cfRule>
  </conditionalFormatting>
  <conditionalFormatting sqref="E198">
    <cfRule type="cellIs" dxfId="55" priority="29" operator="equal">
      <formula>0</formula>
    </cfRule>
  </conditionalFormatting>
  <conditionalFormatting sqref="E210">
    <cfRule type="cellIs" dxfId="54" priority="28" operator="equal">
      <formula>0</formula>
    </cfRule>
  </conditionalFormatting>
  <conditionalFormatting sqref="E214">
    <cfRule type="cellIs" dxfId="53" priority="27" operator="equal">
      <formula>0</formula>
    </cfRule>
  </conditionalFormatting>
  <conditionalFormatting sqref="E226">
    <cfRule type="cellIs" dxfId="52" priority="26" operator="equal">
      <formula>0</formula>
    </cfRule>
  </conditionalFormatting>
  <conditionalFormatting sqref="E240">
    <cfRule type="cellIs" dxfId="51" priority="25" operator="equal">
      <formula>0</formula>
    </cfRule>
  </conditionalFormatting>
  <conditionalFormatting sqref="E248">
    <cfRule type="cellIs" dxfId="50" priority="24" operator="equal">
      <formula>0</formula>
    </cfRule>
  </conditionalFormatting>
  <conditionalFormatting sqref="E252">
    <cfRule type="cellIs" dxfId="49" priority="23" operator="equal">
      <formula>0</formula>
    </cfRule>
  </conditionalFormatting>
  <conditionalFormatting sqref="E262">
    <cfRule type="cellIs" dxfId="48" priority="22" operator="equal">
      <formula>0</formula>
    </cfRule>
  </conditionalFormatting>
  <conditionalFormatting sqref="E265">
    <cfRule type="cellIs" dxfId="47" priority="21" operator="equal">
      <formula>0</formula>
    </cfRule>
  </conditionalFormatting>
  <conditionalFormatting sqref="E277">
    <cfRule type="cellIs" dxfId="46" priority="20" operator="equal">
      <formula>0</formula>
    </cfRule>
  </conditionalFormatting>
  <conditionalFormatting sqref="E281">
    <cfRule type="cellIs" dxfId="45" priority="1" operator="equal">
      <formula>0</formula>
    </cfRule>
  </conditionalFormatting>
  <conditionalFormatting sqref="E286">
    <cfRule type="cellIs" dxfId="44" priority="19" operator="equal">
      <formula>0</formula>
    </cfRule>
  </conditionalFormatting>
  <conditionalFormatting sqref="E294">
    <cfRule type="cellIs" dxfId="43" priority="17" operator="equal">
      <formula>0</formula>
    </cfRule>
  </conditionalFormatting>
  <conditionalFormatting sqref="E300">
    <cfRule type="cellIs" dxfId="42" priority="16" operator="equal">
      <formula>0</formula>
    </cfRule>
  </conditionalFormatting>
  <conditionalFormatting sqref="E302">
    <cfRule type="cellIs" dxfId="41" priority="15" operator="equal">
      <formula>0</formula>
    </cfRule>
  </conditionalFormatting>
  <conditionalFormatting sqref="E304">
    <cfRule type="cellIs" dxfId="40" priority="14" operator="equal">
      <formula>0</formula>
    </cfRule>
  </conditionalFormatting>
  <conditionalFormatting sqref="E307">
    <cfRule type="cellIs" dxfId="39" priority="13" operator="equal">
      <formula>0</formula>
    </cfRule>
  </conditionalFormatting>
  <conditionalFormatting sqref="E315">
    <cfRule type="cellIs" dxfId="38" priority="12" operator="equal">
      <formula>0</formula>
    </cfRule>
  </conditionalFormatting>
  <conditionalFormatting sqref="E323">
    <cfRule type="cellIs" dxfId="37" priority="11" operator="equal">
      <formula>0</formula>
    </cfRule>
  </conditionalFormatting>
  <conditionalFormatting sqref="E332">
    <cfRule type="cellIs" dxfId="36" priority="10" operator="equal">
      <formula>0</formula>
    </cfRule>
  </conditionalFormatting>
  <conditionalFormatting sqref="E335">
    <cfRule type="cellIs" dxfId="35" priority="9" operator="equal">
      <formula>0</formula>
    </cfRule>
  </conditionalFormatting>
  <conditionalFormatting sqref="E345">
    <cfRule type="cellIs" dxfId="34" priority="8" operator="equal">
      <formula>0</formula>
    </cfRule>
  </conditionalFormatting>
  <conditionalFormatting sqref="E362">
    <cfRule type="cellIs" dxfId="33" priority="7" operator="equal">
      <formula>0</formula>
    </cfRule>
  </conditionalFormatting>
  <pageMargins left="0.25" right="0.25" top="0.75" bottom="0.75" header="0.3" footer="0.3"/>
  <pageSetup paperSize="9" scale="62" fitToHeight="0" orientation="portrait" r:id="rId1"/>
  <colBreaks count="1" manualBreakCount="1">
    <brk id="4" max="1048575" man="1"/>
  </colBreak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AF32A-AD08-45BC-8BFE-6FDEC8E953ED}">
  <dimension ref="A1:S299"/>
  <sheetViews>
    <sheetView zoomScaleNormal="100" zoomScaleSheetLayoutView="100" workbookViewId="0">
      <selection activeCell="N18" sqref="N18"/>
    </sheetView>
  </sheetViews>
  <sheetFormatPr defaultColWidth="9.109375" defaultRowHeight="13.8" x14ac:dyDescent="0.25"/>
  <cols>
    <col min="1" max="1" width="10.6640625" style="39" customWidth="1"/>
    <col min="2" max="4" width="3.6640625" style="39" customWidth="1"/>
    <col min="5" max="5" width="30.6640625" style="39" customWidth="1"/>
    <col min="6" max="6" width="12.6640625" style="39" customWidth="1"/>
    <col min="7" max="7" width="2.6640625" style="39" customWidth="1"/>
    <col min="8" max="8" width="12.6640625" style="39" customWidth="1"/>
    <col min="9" max="9" width="2.6640625" style="39" customWidth="1"/>
    <col min="10" max="10" width="12.6640625" style="39" customWidth="1"/>
    <col min="11" max="11" width="2.6640625" style="39" customWidth="1"/>
    <col min="12" max="12" width="12.6640625" style="39" customWidth="1"/>
    <col min="13" max="13" width="2.6640625" style="39" customWidth="1"/>
    <col min="14" max="14" width="12.6640625" style="39" customWidth="1"/>
    <col min="15" max="15" width="2.6640625" style="39" customWidth="1"/>
    <col min="16" max="16" width="12.6640625" style="39" customWidth="1"/>
    <col min="17" max="17" width="2.6640625" style="39" customWidth="1"/>
    <col min="18" max="16384" width="9.109375" style="39"/>
  </cols>
  <sheetData>
    <row r="1" spans="1:19" ht="15.6" x14ac:dyDescent="0.3">
      <c r="A1" s="36" t="s">
        <v>306</v>
      </c>
      <c r="B1" s="37"/>
      <c r="C1" s="37"/>
      <c r="D1" s="37"/>
      <c r="E1" s="37"/>
      <c r="F1" s="37"/>
      <c r="G1" s="37"/>
      <c r="H1" s="37"/>
      <c r="I1" s="37"/>
      <c r="J1" s="37"/>
      <c r="K1" s="37"/>
      <c r="L1" s="37"/>
      <c r="M1" s="37"/>
      <c r="N1" s="37"/>
      <c r="O1" s="37"/>
      <c r="P1" s="37"/>
      <c r="Q1" s="37"/>
      <c r="R1" s="38"/>
      <c r="S1" s="38"/>
    </row>
    <row r="2" spans="1:19" x14ac:dyDescent="0.25">
      <c r="A2" s="37"/>
      <c r="B2" s="37"/>
      <c r="C2" s="37"/>
      <c r="D2" s="37"/>
      <c r="E2" s="37"/>
      <c r="F2" s="37"/>
      <c r="G2" s="37"/>
      <c r="H2" s="37"/>
      <c r="I2" s="37"/>
      <c r="J2" s="37"/>
      <c r="K2" s="37"/>
      <c r="L2" s="37"/>
      <c r="M2" s="37"/>
      <c r="N2" s="37"/>
      <c r="O2" s="37"/>
      <c r="P2" s="37"/>
      <c r="Q2" s="37"/>
      <c r="R2" s="38"/>
      <c r="S2" s="38"/>
    </row>
    <row r="3" spans="1:19" x14ac:dyDescent="0.25">
      <c r="A3" s="37" t="s">
        <v>307</v>
      </c>
      <c r="B3" s="37" t="s">
        <v>32</v>
      </c>
      <c r="C3" s="37"/>
      <c r="D3" s="37"/>
      <c r="E3" s="37"/>
      <c r="F3" s="37"/>
      <c r="G3" s="37"/>
      <c r="H3" s="37"/>
      <c r="I3" s="37"/>
      <c r="J3" s="37"/>
      <c r="K3" s="37"/>
      <c r="L3" s="37"/>
      <c r="M3" s="37"/>
      <c r="N3" s="37"/>
      <c r="O3" s="37"/>
      <c r="P3" s="37"/>
      <c r="Q3" s="37"/>
      <c r="R3" s="38"/>
      <c r="S3" s="38"/>
    </row>
    <row r="4" spans="1:19" x14ac:dyDescent="0.25">
      <c r="A4" s="37" t="s">
        <v>308</v>
      </c>
      <c r="B4" s="37" t="s">
        <v>32</v>
      </c>
      <c r="C4" s="37"/>
      <c r="D4" s="37"/>
      <c r="E4" s="37"/>
      <c r="F4" s="37"/>
      <c r="G4" s="37"/>
      <c r="H4" s="37"/>
      <c r="I4" s="37"/>
      <c r="J4" s="37"/>
      <c r="K4" s="37"/>
      <c r="L4" s="37"/>
      <c r="M4" s="37"/>
      <c r="N4" s="37"/>
      <c r="O4" s="37"/>
      <c r="P4" s="37"/>
      <c r="Q4" s="37"/>
      <c r="R4" s="38"/>
      <c r="S4" s="38"/>
    </row>
    <row r="5" spans="1:19" x14ac:dyDescent="0.25">
      <c r="A5" s="37" t="s">
        <v>309</v>
      </c>
      <c r="B5" s="37" t="s">
        <v>32</v>
      </c>
      <c r="C5" s="37"/>
      <c r="D5" s="37"/>
      <c r="E5" s="37"/>
      <c r="F5" s="37"/>
      <c r="G5" s="37"/>
      <c r="H5" s="37"/>
      <c r="I5" s="37"/>
      <c r="J5" s="37"/>
      <c r="K5" s="37"/>
      <c r="L5" s="37"/>
      <c r="M5" s="37"/>
      <c r="N5" s="37"/>
      <c r="O5" s="37"/>
      <c r="P5" s="37"/>
      <c r="Q5" s="37"/>
      <c r="R5" s="38"/>
      <c r="S5" s="38"/>
    </row>
    <row r="6" spans="1:19" x14ac:dyDescent="0.25">
      <c r="A6" s="37" t="s">
        <v>37</v>
      </c>
      <c r="B6" s="37" t="s">
        <v>32</v>
      </c>
      <c r="C6" s="37"/>
      <c r="D6" s="37"/>
      <c r="E6" s="37"/>
      <c r="F6" s="37"/>
      <c r="G6" s="37"/>
      <c r="H6" s="37"/>
      <c r="I6" s="37"/>
      <c r="J6" s="37"/>
      <c r="K6" s="37"/>
      <c r="L6" s="37"/>
      <c r="M6" s="37"/>
      <c r="N6" s="37"/>
      <c r="O6" s="37"/>
      <c r="P6" s="37"/>
      <c r="Q6" s="37"/>
      <c r="R6" s="38"/>
      <c r="S6" s="38"/>
    </row>
    <row r="7" spans="1:19" x14ac:dyDescent="0.25">
      <c r="A7" s="37"/>
      <c r="B7" s="37"/>
      <c r="C7" s="37"/>
      <c r="D7" s="37"/>
      <c r="E7" s="37"/>
      <c r="F7" s="37"/>
      <c r="G7" s="37"/>
      <c r="H7" s="37"/>
      <c r="I7" s="37"/>
      <c r="J7" s="37"/>
      <c r="K7" s="37"/>
      <c r="L7" s="37"/>
      <c r="M7" s="37"/>
      <c r="N7" s="37"/>
      <c r="O7" s="37"/>
      <c r="P7" s="37"/>
      <c r="Q7" s="37"/>
      <c r="R7" s="38"/>
      <c r="S7" s="38"/>
    </row>
    <row r="8" spans="1:19" x14ac:dyDescent="0.25">
      <c r="A8" s="37"/>
      <c r="B8" s="37"/>
      <c r="C8" s="37"/>
      <c r="D8" s="37"/>
      <c r="E8" s="37"/>
      <c r="F8" s="41" t="s">
        <v>36</v>
      </c>
      <c r="G8" s="37"/>
      <c r="H8" s="37"/>
      <c r="I8" s="37"/>
      <c r="J8" s="37"/>
      <c r="K8" s="37"/>
      <c r="L8" s="37"/>
      <c r="M8" s="37"/>
      <c r="N8" s="37"/>
      <c r="O8" s="37"/>
      <c r="P8" s="37"/>
      <c r="Q8" s="37"/>
      <c r="R8" s="38"/>
      <c r="S8" s="38"/>
    </row>
    <row r="9" spans="1:19" x14ac:dyDescent="0.25">
      <c r="A9" s="37" t="s">
        <v>310</v>
      </c>
      <c r="B9" s="37"/>
      <c r="C9" s="37"/>
      <c r="D9" s="37"/>
      <c r="E9" s="37"/>
      <c r="F9" s="42" t="s">
        <v>311</v>
      </c>
      <c r="G9" s="42"/>
      <c r="H9" s="42" t="s">
        <v>312</v>
      </c>
      <c r="I9" s="42"/>
      <c r="J9" s="42" t="s">
        <v>313</v>
      </c>
      <c r="K9" s="42"/>
      <c r="L9" s="42" t="s">
        <v>314</v>
      </c>
      <c r="M9" s="42"/>
      <c r="N9" s="42" t="s">
        <v>315</v>
      </c>
      <c r="O9" s="42"/>
      <c r="P9" s="42" t="s">
        <v>319</v>
      </c>
      <c r="Q9" s="42"/>
      <c r="R9" s="38"/>
      <c r="S9" s="38"/>
    </row>
    <row r="10" spans="1:19" ht="14.4" thickBot="1" x14ac:dyDescent="0.3">
      <c r="A10" s="43"/>
      <c r="B10" s="43"/>
      <c r="C10" s="43"/>
      <c r="D10" s="43"/>
      <c r="E10" s="43"/>
      <c r="F10" s="44" t="s">
        <v>316</v>
      </c>
      <c r="G10" s="44"/>
      <c r="H10" s="44" t="s">
        <v>316</v>
      </c>
      <c r="I10" s="44"/>
      <c r="J10" s="44" t="s">
        <v>316</v>
      </c>
      <c r="K10" s="44"/>
      <c r="L10" s="44" t="s">
        <v>35</v>
      </c>
      <c r="M10" s="44"/>
      <c r="N10" s="44" t="s">
        <v>317</v>
      </c>
      <c r="O10" s="44"/>
      <c r="P10" s="44" t="s">
        <v>318</v>
      </c>
      <c r="Q10" s="44"/>
      <c r="R10" s="38"/>
      <c r="S10" s="38"/>
    </row>
    <row r="11" spans="1:19" x14ac:dyDescent="0.25">
      <c r="A11" s="37"/>
      <c r="B11" s="37"/>
      <c r="C11" s="37"/>
      <c r="D11" s="37"/>
      <c r="E11" s="37"/>
      <c r="F11" s="40"/>
      <c r="G11" s="40"/>
      <c r="H11" s="40"/>
      <c r="I11" s="40"/>
      <c r="J11" s="40"/>
      <c r="K11" s="40"/>
      <c r="L11" s="40"/>
      <c r="M11" s="40"/>
      <c r="N11" s="40"/>
      <c r="O11" s="40"/>
      <c r="P11" s="40"/>
      <c r="Q11" s="40"/>
      <c r="R11" s="38"/>
      <c r="S11" s="38"/>
    </row>
    <row r="12" spans="1:19" x14ac:dyDescent="0.25">
      <c r="A12" s="37"/>
      <c r="B12" s="37"/>
      <c r="C12" s="37"/>
      <c r="D12" s="37"/>
      <c r="E12" s="37"/>
      <c r="F12" s="40"/>
      <c r="G12" s="40"/>
      <c r="H12" s="40"/>
      <c r="I12" s="40"/>
      <c r="J12" s="40"/>
      <c r="K12" s="40"/>
      <c r="L12" s="40"/>
      <c r="M12" s="40"/>
      <c r="N12" s="40"/>
      <c r="O12" s="40"/>
      <c r="P12" s="40"/>
      <c r="Q12" s="40"/>
      <c r="R12" s="38"/>
      <c r="S12" s="38"/>
    </row>
    <row r="13" spans="1:19" x14ac:dyDescent="0.25">
      <c r="A13" s="37"/>
      <c r="B13" s="37"/>
      <c r="C13" s="37"/>
      <c r="D13" s="37"/>
      <c r="E13" s="37"/>
      <c r="F13" s="40"/>
      <c r="G13" s="40"/>
      <c r="H13" s="40"/>
      <c r="I13" s="40"/>
      <c r="J13" s="40"/>
      <c r="K13" s="40"/>
      <c r="L13" s="40"/>
      <c r="M13" s="40"/>
      <c r="N13" s="40"/>
      <c r="O13" s="40"/>
      <c r="P13" s="40"/>
      <c r="Q13" s="40"/>
      <c r="R13" s="38"/>
      <c r="S13" s="38"/>
    </row>
    <row r="14" spans="1:19" x14ac:dyDescent="0.25">
      <c r="A14" s="37"/>
      <c r="B14" s="37"/>
      <c r="C14" s="37"/>
      <c r="D14" s="37"/>
      <c r="E14" s="37"/>
      <c r="F14" s="40"/>
      <c r="G14" s="40"/>
      <c r="H14" s="40"/>
      <c r="I14" s="40"/>
      <c r="J14" s="40"/>
      <c r="K14" s="40"/>
      <c r="L14" s="40"/>
      <c r="M14" s="40"/>
      <c r="N14" s="40"/>
      <c r="O14" s="40"/>
      <c r="P14" s="40"/>
      <c r="Q14" s="40"/>
      <c r="R14" s="38"/>
      <c r="S14" s="38"/>
    </row>
    <row r="15" spans="1:19" x14ac:dyDescent="0.25">
      <c r="A15" s="37"/>
      <c r="B15" s="37"/>
      <c r="C15" s="37"/>
      <c r="D15" s="37"/>
      <c r="E15" s="37"/>
      <c r="F15" s="40"/>
      <c r="G15" s="40"/>
      <c r="H15" s="40"/>
      <c r="I15" s="40"/>
      <c r="J15" s="40"/>
      <c r="K15" s="40"/>
      <c r="L15" s="40"/>
      <c r="M15" s="40"/>
      <c r="N15" s="40"/>
      <c r="O15" s="40"/>
      <c r="P15" s="40"/>
      <c r="Q15" s="40"/>
      <c r="R15" s="38"/>
      <c r="S15" s="38"/>
    </row>
    <row r="16" spans="1:19" x14ac:dyDescent="0.25">
      <c r="A16" s="37"/>
      <c r="B16" s="37"/>
      <c r="C16" s="37"/>
      <c r="D16" s="37"/>
      <c r="E16" s="37"/>
      <c r="F16" s="40"/>
      <c r="G16" s="40"/>
      <c r="H16" s="40"/>
      <c r="I16" s="40"/>
      <c r="J16" s="40"/>
      <c r="K16" s="40"/>
      <c r="L16" s="40"/>
      <c r="M16" s="40"/>
      <c r="N16" s="40"/>
      <c r="O16" s="40"/>
      <c r="P16" s="40"/>
      <c r="Q16" s="40"/>
      <c r="R16" s="38"/>
      <c r="S16" s="38"/>
    </row>
    <row r="17" spans="1:19" x14ac:dyDescent="0.25">
      <c r="A17" s="37"/>
      <c r="B17" s="37"/>
      <c r="C17" s="37"/>
      <c r="D17" s="37"/>
      <c r="E17" s="37"/>
      <c r="F17" s="40"/>
      <c r="G17" s="40"/>
      <c r="H17" s="40"/>
      <c r="I17" s="40"/>
      <c r="J17" s="40"/>
      <c r="K17" s="40"/>
      <c r="L17" s="40"/>
      <c r="M17" s="40"/>
      <c r="N17" s="40"/>
      <c r="O17" s="40"/>
      <c r="P17" s="40"/>
      <c r="Q17" s="40"/>
      <c r="R17" s="38"/>
      <c r="S17" s="38"/>
    </row>
    <row r="18" spans="1:19" x14ac:dyDescent="0.25">
      <c r="A18" s="37"/>
      <c r="B18" s="37"/>
      <c r="C18" s="37"/>
      <c r="D18" s="37"/>
      <c r="E18" s="37"/>
      <c r="F18" s="40"/>
      <c r="G18" s="40"/>
      <c r="H18" s="40"/>
      <c r="I18" s="40"/>
      <c r="J18" s="40"/>
      <c r="K18" s="40"/>
      <c r="L18" s="40"/>
      <c r="M18" s="40"/>
      <c r="N18" s="40"/>
      <c r="O18" s="40"/>
      <c r="P18" s="40"/>
      <c r="Q18" s="40"/>
      <c r="R18" s="38"/>
      <c r="S18" s="38"/>
    </row>
    <row r="19" spans="1:19" x14ac:dyDescent="0.25">
      <c r="A19" s="37"/>
      <c r="B19" s="37"/>
      <c r="C19" s="37"/>
      <c r="D19" s="37"/>
      <c r="E19" s="37"/>
      <c r="F19" s="40"/>
      <c r="G19" s="40"/>
      <c r="H19" s="40"/>
      <c r="I19" s="40"/>
      <c r="J19" s="40"/>
      <c r="K19" s="40"/>
      <c r="L19" s="40"/>
      <c r="M19" s="40"/>
      <c r="N19" s="40"/>
      <c r="O19" s="40"/>
      <c r="P19" s="40"/>
      <c r="Q19" s="40"/>
      <c r="R19" s="38"/>
      <c r="S19" s="38"/>
    </row>
    <row r="20" spans="1:19" x14ac:dyDescent="0.25">
      <c r="A20" s="37"/>
      <c r="B20" s="37"/>
      <c r="C20" s="37"/>
      <c r="D20" s="37"/>
      <c r="E20" s="37"/>
      <c r="F20" s="40"/>
      <c r="G20" s="40"/>
      <c r="H20" s="40"/>
      <c r="I20" s="40"/>
      <c r="J20" s="40"/>
      <c r="K20" s="40"/>
      <c r="L20" s="40"/>
      <c r="M20" s="40"/>
      <c r="N20" s="40"/>
      <c r="O20" s="40"/>
      <c r="P20" s="40"/>
      <c r="Q20" s="40"/>
      <c r="R20" s="38"/>
      <c r="S20" s="38"/>
    </row>
    <row r="21" spans="1:19" x14ac:dyDescent="0.25">
      <c r="A21" s="37"/>
      <c r="B21" s="37"/>
      <c r="C21" s="37"/>
      <c r="D21" s="37"/>
      <c r="E21" s="37"/>
      <c r="F21" s="40"/>
      <c r="G21" s="40"/>
      <c r="H21" s="40"/>
      <c r="I21" s="40"/>
      <c r="J21" s="40"/>
      <c r="K21" s="40"/>
      <c r="L21" s="40"/>
      <c r="M21" s="40"/>
      <c r="N21" s="40"/>
      <c r="O21" s="40"/>
      <c r="P21" s="40"/>
      <c r="Q21" s="40"/>
      <c r="R21" s="38"/>
      <c r="S21" s="38"/>
    </row>
    <row r="22" spans="1:19" x14ac:dyDescent="0.25">
      <c r="A22" s="37"/>
      <c r="B22" s="37"/>
      <c r="C22" s="37"/>
      <c r="D22" s="37"/>
      <c r="E22" s="37"/>
      <c r="F22" s="40"/>
      <c r="G22" s="40"/>
      <c r="H22" s="40"/>
      <c r="I22" s="40"/>
      <c r="J22" s="40"/>
      <c r="K22" s="40"/>
      <c r="L22" s="40"/>
      <c r="M22" s="40"/>
      <c r="N22" s="40"/>
      <c r="O22" s="40"/>
      <c r="P22" s="40"/>
      <c r="Q22" s="40"/>
      <c r="R22" s="38"/>
      <c r="S22" s="38"/>
    </row>
    <row r="23" spans="1:19" x14ac:dyDescent="0.25">
      <c r="A23" s="37"/>
      <c r="B23" s="37"/>
      <c r="C23" s="37"/>
      <c r="D23" s="37"/>
      <c r="E23" s="37"/>
      <c r="F23" s="40"/>
      <c r="G23" s="40"/>
      <c r="H23" s="40"/>
      <c r="I23" s="40"/>
      <c r="J23" s="40"/>
      <c r="K23" s="40"/>
      <c r="L23" s="40"/>
      <c r="M23" s="40"/>
      <c r="N23" s="40"/>
      <c r="O23" s="40"/>
      <c r="P23" s="40"/>
      <c r="Q23" s="40"/>
      <c r="R23" s="38"/>
      <c r="S23" s="38"/>
    </row>
    <row r="24" spans="1:19" x14ac:dyDescent="0.25">
      <c r="A24" s="37"/>
      <c r="B24" s="37"/>
      <c r="C24" s="37"/>
      <c r="D24" s="37"/>
      <c r="E24" s="37"/>
      <c r="F24" s="40"/>
      <c r="G24" s="40"/>
      <c r="H24" s="40"/>
      <c r="I24" s="40"/>
      <c r="J24" s="40"/>
      <c r="K24" s="40"/>
      <c r="L24" s="40"/>
      <c r="M24" s="40"/>
      <c r="N24" s="40"/>
      <c r="O24" s="40"/>
      <c r="P24" s="40"/>
      <c r="Q24" s="40"/>
      <c r="R24" s="38"/>
      <c r="S24" s="38"/>
    </row>
    <row r="25" spans="1:19" x14ac:dyDescent="0.25">
      <c r="A25" s="37"/>
      <c r="B25" s="37"/>
      <c r="C25" s="37"/>
      <c r="D25" s="37"/>
      <c r="E25" s="37"/>
      <c r="F25" s="40"/>
      <c r="G25" s="40"/>
      <c r="H25" s="40"/>
      <c r="I25" s="40"/>
      <c r="J25" s="40"/>
      <c r="K25" s="40"/>
      <c r="L25" s="40"/>
      <c r="M25" s="40"/>
      <c r="N25" s="40"/>
      <c r="O25" s="40"/>
      <c r="P25" s="40"/>
      <c r="Q25" s="40"/>
      <c r="R25" s="38"/>
      <c r="S25" s="38"/>
    </row>
    <row r="26" spans="1:19" x14ac:dyDescent="0.25">
      <c r="A26" s="37"/>
      <c r="B26" s="37"/>
      <c r="C26" s="37"/>
      <c r="D26" s="37"/>
      <c r="E26" s="37"/>
      <c r="F26" s="40"/>
      <c r="G26" s="40"/>
      <c r="H26" s="40"/>
      <c r="I26" s="40"/>
      <c r="J26" s="40"/>
      <c r="K26" s="40"/>
      <c r="L26" s="40"/>
      <c r="M26" s="40"/>
      <c r="N26" s="40"/>
      <c r="O26" s="40"/>
      <c r="P26" s="40"/>
      <c r="Q26" s="40"/>
      <c r="R26" s="38"/>
      <c r="S26" s="38"/>
    </row>
    <row r="27" spans="1:19" x14ac:dyDescent="0.25">
      <c r="A27" s="37"/>
      <c r="B27" s="37"/>
      <c r="C27" s="37"/>
      <c r="D27" s="37"/>
      <c r="E27" s="37"/>
      <c r="F27" s="40"/>
      <c r="G27" s="40"/>
      <c r="H27" s="40"/>
      <c r="I27" s="40"/>
      <c r="J27" s="40"/>
      <c r="K27" s="40"/>
      <c r="L27" s="40"/>
      <c r="M27" s="40"/>
      <c r="N27" s="40"/>
      <c r="O27" s="40"/>
      <c r="P27" s="40"/>
      <c r="Q27" s="40"/>
      <c r="R27" s="38"/>
      <c r="S27" s="38"/>
    </row>
    <row r="28" spans="1:19" x14ac:dyDescent="0.25">
      <c r="A28" s="37"/>
      <c r="B28" s="37"/>
      <c r="C28" s="37"/>
      <c r="D28" s="37"/>
      <c r="E28" s="37"/>
      <c r="F28" s="40"/>
      <c r="G28" s="40"/>
      <c r="H28" s="40"/>
      <c r="I28" s="40"/>
      <c r="J28" s="40"/>
      <c r="K28" s="40"/>
      <c r="L28" s="40"/>
      <c r="M28" s="40"/>
      <c r="N28" s="40"/>
      <c r="O28" s="40"/>
      <c r="P28" s="40"/>
      <c r="Q28" s="40"/>
      <c r="R28" s="38"/>
      <c r="S28" s="38"/>
    </row>
    <row r="29" spans="1:19" x14ac:dyDescent="0.25">
      <c r="A29" s="37"/>
      <c r="B29" s="37"/>
      <c r="C29" s="37"/>
      <c r="D29" s="37"/>
      <c r="E29" s="37"/>
      <c r="F29" s="40"/>
      <c r="G29" s="40"/>
      <c r="H29" s="40"/>
      <c r="I29" s="40"/>
      <c r="J29" s="40"/>
      <c r="K29" s="40"/>
      <c r="L29" s="40"/>
      <c r="M29" s="40"/>
      <c r="N29" s="40"/>
      <c r="O29" s="40"/>
      <c r="P29" s="40"/>
      <c r="Q29" s="40"/>
      <c r="R29" s="38"/>
      <c r="S29" s="38"/>
    </row>
    <row r="30" spans="1:19" x14ac:dyDescent="0.25">
      <c r="A30" s="37"/>
      <c r="B30" s="37"/>
      <c r="C30" s="37"/>
      <c r="D30" s="37"/>
      <c r="E30" s="37"/>
      <c r="F30" s="40"/>
      <c r="G30" s="40"/>
      <c r="H30" s="40"/>
      <c r="I30" s="40"/>
      <c r="J30" s="40"/>
      <c r="K30" s="40"/>
      <c r="L30" s="40"/>
      <c r="M30" s="40"/>
      <c r="N30" s="40"/>
      <c r="O30" s="40"/>
      <c r="P30" s="40"/>
      <c r="Q30" s="40"/>
      <c r="R30" s="38"/>
      <c r="S30" s="38"/>
    </row>
    <row r="31" spans="1:19" x14ac:dyDescent="0.25">
      <c r="A31" s="37"/>
      <c r="B31" s="37"/>
      <c r="C31" s="37"/>
      <c r="D31" s="37"/>
      <c r="E31" s="37"/>
      <c r="F31" s="40"/>
      <c r="G31" s="40"/>
      <c r="H31" s="40"/>
      <c r="I31" s="40"/>
      <c r="J31" s="40"/>
      <c r="K31" s="40"/>
      <c r="L31" s="40"/>
      <c r="M31" s="40"/>
      <c r="N31" s="40"/>
      <c r="O31" s="40"/>
      <c r="P31" s="40"/>
      <c r="Q31" s="40"/>
      <c r="R31" s="38"/>
      <c r="S31" s="38"/>
    </row>
    <row r="32" spans="1:19" x14ac:dyDescent="0.25">
      <c r="A32" s="37"/>
      <c r="B32" s="37"/>
      <c r="C32" s="37"/>
      <c r="D32" s="37"/>
      <c r="E32" s="37"/>
      <c r="F32" s="40"/>
      <c r="G32" s="40"/>
      <c r="H32" s="40"/>
      <c r="I32" s="40"/>
      <c r="J32" s="40"/>
      <c r="K32" s="40"/>
      <c r="L32" s="40"/>
      <c r="M32" s="40"/>
      <c r="N32" s="40"/>
      <c r="O32" s="40"/>
      <c r="P32" s="40"/>
      <c r="Q32" s="40"/>
      <c r="R32" s="38"/>
      <c r="S32" s="38"/>
    </row>
    <row r="33" spans="1:19" x14ac:dyDescent="0.25">
      <c r="A33" s="37"/>
      <c r="B33" s="37"/>
      <c r="C33" s="37"/>
      <c r="D33" s="37"/>
      <c r="E33" s="37"/>
      <c r="F33" s="40"/>
      <c r="G33" s="40"/>
      <c r="H33" s="40"/>
      <c r="I33" s="40"/>
      <c r="J33" s="40"/>
      <c r="K33" s="40"/>
      <c r="L33" s="40"/>
      <c r="M33" s="40"/>
      <c r="N33" s="40"/>
      <c r="O33" s="40"/>
      <c r="P33" s="40"/>
      <c r="Q33" s="40"/>
      <c r="R33" s="38"/>
      <c r="S33" s="38"/>
    </row>
    <row r="34" spans="1:19" x14ac:dyDescent="0.25">
      <c r="A34" s="37"/>
      <c r="B34" s="37"/>
      <c r="C34" s="37"/>
      <c r="D34" s="37"/>
      <c r="E34" s="37"/>
      <c r="F34" s="40"/>
      <c r="G34" s="40"/>
      <c r="H34" s="40"/>
      <c r="I34" s="40"/>
      <c r="J34" s="40"/>
      <c r="K34" s="40"/>
      <c r="L34" s="40"/>
      <c r="M34" s="40"/>
      <c r="N34" s="40"/>
      <c r="O34" s="40"/>
      <c r="P34" s="40"/>
      <c r="Q34" s="40"/>
      <c r="R34" s="38"/>
      <c r="S34" s="38"/>
    </row>
    <row r="35" spans="1:19" x14ac:dyDescent="0.25">
      <c r="A35" s="37"/>
      <c r="B35" s="37"/>
      <c r="C35" s="37"/>
      <c r="D35" s="37"/>
      <c r="E35" s="37"/>
      <c r="F35" s="40"/>
      <c r="G35" s="40"/>
      <c r="H35" s="40"/>
      <c r="I35" s="40"/>
      <c r="J35" s="40"/>
      <c r="K35" s="40"/>
      <c r="L35" s="40"/>
      <c r="M35" s="40"/>
      <c r="N35" s="40"/>
      <c r="O35" s="40"/>
      <c r="P35" s="40"/>
      <c r="Q35" s="40"/>
      <c r="R35" s="38"/>
      <c r="S35" s="38"/>
    </row>
    <row r="36" spans="1:19" x14ac:dyDescent="0.25">
      <c r="A36" s="37"/>
      <c r="B36" s="37"/>
      <c r="C36" s="37"/>
      <c r="D36" s="37"/>
      <c r="E36" s="37"/>
      <c r="F36" s="40"/>
      <c r="G36" s="40"/>
      <c r="H36" s="40"/>
      <c r="I36" s="40"/>
      <c r="J36" s="40"/>
      <c r="K36" s="40"/>
      <c r="L36" s="40"/>
      <c r="M36" s="40"/>
      <c r="N36" s="40"/>
      <c r="O36" s="40"/>
      <c r="P36" s="40"/>
      <c r="Q36" s="40"/>
      <c r="R36" s="38"/>
      <c r="S36" s="38"/>
    </row>
    <row r="37" spans="1:19" x14ac:dyDescent="0.25">
      <c r="A37" s="37"/>
      <c r="B37" s="37"/>
      <c r="C37" s="37"/>
      <c r="D37" s="37"/>
      <c r="E37" s="37"/>
      <c r="F37" s="40"/>
      <c r="G37" s="40"/>
      <c r="H37" s="40"/>
      <c r="I37" s="40"/>
      <c r="J37" s="40"/>
      <c r="K37" s="40"/>
      <c r="L37" s="40"/>
      <c r="M37" s="40"/>
      <c r="N37" s="40"/>
      <c r="O37" s="40"/>
      <c r="P37" s="40"/>
      <c r="Q37" s="40"/>
      <c r="R37" s="38"/>
      <c r="S37" s="38"/>
    </row>
    <row r="38" spans="1:19" x14ac:dyDescent="0.25">
      <c r="A38" s="37"/>
      <c r="B38" s="37"/>
      <c r="C38" s="37"/>
      <c r="D38" s="37"/>
      <c r="E38" s="37"/>
      <c r="F38" s="40"/>
      <c r="G38" s="40"/>
      <c r="H38" s="40"/>
      <c r="I38" s="40"/>
      <c r="J38" s="40"/>
      <c r="K38" s="40"/>
      <c r="L38" s="40"/>
      <c r="M38" s="40"/>
      <c r="N38" s="40"/>
      <c r="O38" s="40"/>
      <c r="P38" s="40"/>
      <c r="Q38" s="40"/>
      <c r="R38" s="38"/>
      <c r="S38" s="38"/>
    </row>
    <row r="39" spans="1:19" x14ac:dyDescent="0.25">
      <c r="A39" s="37"/>
      <c r="B39" s="37"/>
      <c r="C39" s="37"/>
      <c r="D39" s="37"/>
      <c r="E39" s="37"/>
      <c r="F39" s="40"/>
      <c r="G39" s="40"/>
      <c r="H39" s="40"/>
      <c r="I39" s="40"/>
      <c r="J39" s="40"/>
      <c r="K39" s="40"/>
      <c r="L39" s="40"/>
      <c r="M39" s="40"/>
      <c r="N39" s="40"/>
      <c r="O39" s="40"/>
      <c r="P39" s="40"/>
      <c r="Q39" s="40"/>
      <c r="R39" s="38"/>
      <c r="S39" s="38"/>
    </row>
    <row r="40" spans="1:19" x14ac:dyDescent="0.25">
      <c r="A40" s="37"/>
      <c r="B40" s="37"/>
      <c r="C40" s="37"/>
      <c r="D40" s="37"/>
      <c r="E40" s="37"/>
      <c r="F40" s="40"/>
      <c r="G40" s="40"/>
      <c r="H40" s="40"/>
      <c r="I40" s="40"/>
      <c r="J40" s="40"/>
      <c r="K40" s="40"/>
      <c r="L40" s="40"/>
      <c r="M40" s="40"/>
      <c r="N40" s="40"/>
      <c r="O40" s="40"/>
      <c r="P40" s="40"/>
      <c r="Q40" s="40"/>
      <c r="R40" s="38"/>
      <c r="S40" s="38"/>
    </row>
    <row r="41" spans="1:19" x14ac:dyDescent="0.25">
      <c r="A41" s="37"/>
      <c r="B41" s="37"/>
      <c r="C41" s="37"/>
      <c r="D41" s="37"/>
      <c r="E41" s="37"/>
      <c r="F41" s="40"/>
      <c r="G41" s="40"/>
      <c r="H41" s="40"/>
      <c r="I41" s="40"/>
      <c r="J41" s="40"/>
      <c r="K41" s="40"/>
      <c r="L41" s="40"/>
      <c r="M41" s="40"/>
      <c r="N41" s="40"/>
      <c r="O41" s="40"/>
      <c r="P41" s="40"/>
      <c r="Q41" s="40"/>
      <c r="R41" s="38"/>
      <c r="S41" s="38"/>
    </row>
    <row r="42" spans="1:19" x14ac:dyDescent="0.25">
      <c r="A42" s="37"/>
      <c r="B42" s="37"/>
      <c r="C42" s="37"/>
      <c r="D42" s="37"/>
      <c r="E42" s="37"/>
      <c r="F42" s="40"/>
      <c r="G42" s="40"/>
      <c r="H42" s="40"/>
      <c r="I42" s="40"/>
      <c r="J42" s="40"/>
      <c r="K42" s="40"/>
      <c r="L42" s="40"/>
      <c r="M42" s="40"/>
      <c r="N42" s="40"/>
      <c r="O42" s="40"/>
      <c r="P42" s="40"/>
      <c r="Q42" s="40"/>
      <c r="R42" s="38"/>
      <c r="S42" s="38"/>
    </row>
    <row r="43" spans="1:19" x14ac:dyDescent="0.25">
      <c r="A43" s="37"/>
      <c r="B43" s="37"/>
      <c r="C43" s="37"/>
      <c r="D43" s="37"/>
      <c r="E43" s="37"/>
      <c r="F43" s="40"/>
      <c r="G43" s="40"/>
      <c r="H43" s="40"/>
      <c r="I43" s="40"/>
      <c r="J43" s="40"/>
      <c r="K43" s="40"/>
      <c r="L43" s="40"/>
      <c r="M43" s="40"/>
      <c r="N43" s="40"/>
      <c r="O43" s="40"/>
      <c r="P43" s="40"/>
      <c r="Q43" s="40"/>
      <c r="R43" s="38"/>
      <c r="S43" s="38"/>
    </row>
    <row r="44" spans="1:19" x14ac:dyDescent="0.25">
      <c r="A44" s="37"/>
      <c r="B44" s="37"/>
      <c r="C44" s="37"/>
      <c r="D44" s="37"/>
      <c r="E44" s="37"/>
      <c r="F44" s="40"/>
      <c r="G44" s="40"/>
      <c r="H44" s="40"/>
      <c r="I44" s="40"/>
      <c r="J44" s="40"/>
      <c r="K44" s="40"/>
      <c r="L44" s="40"/>
      <c r="M44" s="40"/>
      <c r="N44" s="40"/>
      <c r="O44" s="40"/>
      <c r="P44" s="40"/>
      <c r="Q44" s="40"/>
      <c r="R44" s="38"/>
      <c r="S44" s="38"/>
    </row>
    <row r="45" spans="1:19" x14ac:dyDescent="0.25">
      <c r="A45" s="37"/>
      <c r="B45" s="37"/>
      <c r="C45" s="37"/>
      <c r="D45" s="37"/>
      <c r="E45" s="37"/>
      <c r="F45" s="40"/>
      <c r="G45" s="40"/>
      <c r="H45" s="40"/>
      <c r="I45" s="40"/>
      <c r="J45" s="40"/>
      <c r="K45" s="40"/>
      <c r="L45" s="40"/>
      <c r="M45" s="40"/>
      <c r="N45" s="40"/>
      <c r="O45" s="40"/>
      <c r="P45" s="40"/>
      <c r="Q45" s="40"/>
      <c r="R45" s="38"/>
      <c r="S45" s="38"/>
    </row>
    <row r="46" spans="1:19" x14ac:dyDescent="0.25">
      <c r="A46" s="37"/>
      <c r="B46" s="37"/>
      <c r="C46" s="37"/>
      <c r="D46" s="37"/>
      <c r="E46" s="37"/>
      <c r="F46" s="40"/>
      <c r="G46" s="40"/>
      <c r="H46" s="40"/>
      <c r="I46" s="40"/>
      <c r="J46" s="40"/>
      <c r="K46" s="40"/>
      <c r="L46" s="40"/>
      <c r="M46" s="40"/>
      <c r="N46" s="40"/>
      <c r="O46" s="40"/>
      <c r="P46" s="40"/>
      <c r="Q46" s="40"/>
      <c r="R46" s="38"/>
      <c r="S46" s="38"/>
    </row>
    <row r="47" spans="1:19" x14ac:dyDescent="0.25">
      <c r="A47" s="37"/>
      <c r="B47" s="37"/>
      <c r="C47" s="37"/>
      <c r="D47" s="37"/>
      <c r="E47" s="37"/>
      <c r="F47" s="40"/>
      <c r="G47" s="40"/>
      <c r="H47" s="40"/>
      <c r="I47" s="40"/>
      <c r="J47" s="40"/>
      <c r="K47" s="40"/>
      <c r="L47" s="40"/>
      <c r="M47" s="40"/>
      <c r="N47" s="40"/>
      <c r="O47" s="40"/>
      <c r="P47" s="40"/>
      <c r="Q47" s="40"/>
      <c r="R47" s="38"/>
      <c r="S47" s="38"/>
    </row>
    <row r="48" spans="1:19" x14ac:dyDescent="0.25">
      <c r="A48" s="37"/>
      <c r="B48" s="37"/>
      <c r="C48" s="37"/>
      <c r="D48" s="37"/>
      <c r="E48" s="37"/>
      <c r="F48" s="40"/>
      <c r="G48" s="40"/>
      <c r="H48" s="40"/>
      <c r="I48" s="40"/>
      <c r="J48" s="40"/>
      <c r="K48" s="40"/>
      <c r="L48" s="40"/>
      <c r="M48" s="40"/>
      <c r="N48" s="40"/>
      <c r="O48" s="40"/>
      <c r="P48" s="40"/>
      <c r="Q48" s="40"/>
      <c r="R48" s="38"/>
      <c r="S48" s="38"/>
    </row>
    <row r="49" spans="1:19" x14ac:dyDescent="0.25">
      <c r="A49" s="37"/>
      <c r="B49" s="37"/>
      <c r="C49" s="37"/>
      <c r="D49" s="37"/>
      <c r="E49" s="37"/>
      <c r="F49" s="40"/>
      <c r="G49" s="40"/>
      <c r="H49" s="40"/>
      <c r="I49" s="40"/>
      <c r="J49" s="40"/>
      <c r="K49" s="40"/>
      <c r="L49" s="40"/>
      <c r="M49" s="40"/>
      <c r="N49" s="40"/>
      <c r="O49" s="40"/>
      <c r="P49" s="40"/>
      <c r="Q49" s="40"/>
      <c r="R49" s="38"/>
      <c r="S49" s="38"/>
    </row>
    <row r="50" spans="1:19" x14ac:dyDescent="0.25">
      <c r="A50" s="37"/>
      <c r="B50" s="37"/>
      <c r="C50" s="37"/>
      <c r="D50" s="37"/>
      <c r="E50" s="37"/>
      <c r="F50" s="40"/>
      <c r="G50" s="40"/>
      <c r="H50" s="40"/>
      <c r="I50" s="40"/>
      <c r="J50" s="40"/>
      <c r="K50" s="40"/>
      <c r="L50" s="40"/>
      <c r="M50" s="40"/>
      <c r="N50" s="40"/>
      <c r="O50" s="40"/>
      <c r="P50" s="40"/>
      <c r="Q50" s="40"/>
      <c r="R50" s="38"/>
      <c r="S50" s="38"/>
    </row>
    <row r="51" spans="1:19" x14ac:dyDescent="0.25">
      <c r="A51" s="37"/>
      <c r="B51" s="37"/>
      <c r="C51" s="37"/>
      <c r="D51" s="37"/>
      <c r="E51" s="37"/>
      <c r="F51" s="40"/>
      <c r="G51" s="40"/>
      <c r="H51" s="40"/>
      <c r="I51" s="40"/>
      <c r="J51" s="40"/>
      <c r="K51" s="40"/>
      <c r="L51" s="40"/>
      <c r="M51" s="40"/>
      <c r="N51" s="40"/>
      <c r="O51" s="40"/>
      <c r="P51" s="40"/>
      <c r="Q51" s="40"/>
      <c r="R51" s="38"/>
      <c r="S51" s="38"/>
    </row>
    <row r="52" spans="1:19" x14ac:dyDescent="0.25">
      <c r="A52" s="37"/>
      <c r="B52" s="37"/>
      <c r="C52" s="37"/>
      <c r="D52" s="37"/>
      <c r="E52" s="37"/>
      <c r="F52" s="40"/>
      <c r="G52" s="40"/>
      <c r="H52" s="40"/>
      <c r="I52" s="40"/>
      <c r="J52" s="40"/>
      <c r="K52" s="40"/>
      <c r="L52" s="40"/>
      <c r="M52" s="40"/>
      <c r="N52" s="40"/>
      <c r="O52" s="40"/>
      <c r="P52" s="40"/>
      <c r="Q52" s="40"/>
      <c r="R52" s="38"/>
      <c r="S52" s="38"/>
    </row>
    <row r="53" spans="1:19" x14ac:dyDescent="0.25">
      <c r="A53" s="37"/>
      <c r="B53" s="37"/>
      <c r="C53" s="37"/>
      <c r="D53" s="37"/>
      <c r="E53" s="37"/>
      <c r="F53" s="40"/>
      <c r="G53" s="40"/>
      <c r="H53" s="40"/>
      <c r="I53" s="40"/>
      <c r="J53" s="40"/>
      <c r="K53" s="40"/>
      <c r="L53" s="40"/>
      <c r="M53" s="40"/>
      <c r="N53" s="40"/>
      <c r="O53" s="40"/>
      <c r="P53" s="40"/>
      <c r="Q53" s="40"/>
      <c r="R53" s="38"/>
      <c r="S53" s="38"/>
    </row>
    <row r="54" spans="1:19" x14ac:dyDescent="0.25">
      <c r="A54" s="37"/>
      <c r="B54" s="37"/>
      <c r="C54" s="37"/>
      <c r="D54" s="37"/>
      <c r="E54" s="37"/>
      <c r="F54" s="40"/>
      <c r="G54" s="40"/>
      <c r="H54" s="40"/>
      <c r="I54" s="40"/>
      <c r="J54" s="40"/>
      <c r="K54" s="40"/>
      <c r="L54" s="40"/>
      <c r="M54" s="40"/>
      <c r="N54" s="40"/>
      <c r="O54" s="40"/>
      <c r="P54" s="40"/>
      <c r="Q54" s="40"/>
      <c r="R54" s="38"/>
      <c r="S54" s="38"/>
    </row>
    <row r="55" spans="1:19" x14ac:dyDescent="0.25">
      <c r="A55" s="37"/>
      <c r="B55" s="37"/>
      <c r="C55" s="37"/>
      <c r="D55" s="37"/>
      <c r="E55" s="37"/>
      <c r="F55" s="40"/>
      <c r="G55" s="40"/>
      <c r="H55" s="40"/>
      <c r="I55" s="40"/>
      <c r="J55" s="40"/>
      <c r="K55" s="40"/>
      <c r="L55" s="40"/>
      <c r="M55" s="40"/>
      <c r="N55" s="40"/>
      <c r="O55" s="40"/>
      <c r="P55" s="40"/>
      <c r="Q55" s="40"/>
      <c r="R55" s="38"/>
      <c r="S55" s="38"/>
    </row>
    <row r="56" spans="1:19" x14ac:dyDescent="0.25">
      <c r="A56" s="37"/>
      <c r="B56" s="37"/>
      <c r="C56" s="37"/>
      <c r="D56" s="37"/>
      <c r="E56" s="37"/>
      <c r="F56" s="40"/>
      <c r="G56" s="40"/>
      <c r="H56" s="40"/>
      <c r="I56" s="40"/>
      <c r="J56" s="40"/>
      <c r="K56" s="40"/>
      <c r="L56" s="40"/>
      <c r="M56" s="40"/>
      <c r="N56" s="40"/>
      <c r="O56" s="40"/>
      <c r="P56" s="40"/>
      <c r="Q56" s="40"/>
      <c r="R56" s="38"/>
      <c r="S56" s="38"/>
    </row>
    <row r="57" spans="1:19" x14ac:dyDescent="0.25">
      <c r="A57" s="37"/>
      <c r="B57" s="37"/>
      <c r="C57" s="37"/>
      <c r="D57" s="37"/>
      <c r="E57" s="37"/>
      <c r="F57" s="40"/>
      <c r="G57" s="40"/>
      <c r="H57" s="40"/>
      <c r="I57" s="40"/>
      <c r="J57" s="40"/>
      <c r="K57" s="40"/>
      <c r="L57" s="40"/>
      <c r="M57" s="40"/>
      <c r="N57" s="40"/>
      <c r="O57" s="40"/>
      <c r="P57" s="40"/>
      <c r="Q57" s="40"/>
      <c r="R57" s="38"/>
      <c r="S57" s="38"/>
    </row>
    <row r="58" spans="1:19" x14ac:dyDescent="0.25">
      <c r="A58" s="37"/>
      <c r="B58" s="37"/>
      <c r="C58" s="37"/>
      <c r="D58" s="37"/>
      <c r="E58" s="37"/>
      <c r="F58" s="40"/>
      <c r="G58" s="40"/>
      <c r="H58" s="40"/>
      <c r="I58" s="40"/>
      <c r="J58" s="40"/>
      <c r="K58" s="40"/>
      <c r="L58" s="40"/>
      <c r="M58" s="40"/>
      <c r="N58" s="40"/>
      <c r="O58" s="40"/>
      <c r="P58" s="40"/>
      <c r="Q58" s="40"/>
      <c r="R58" s="38"/>
      <c r="S58" s="38"/>
    </row>
    <row r="59" spans="1:19" x14ac:dyDescent="0.25">
      <c r="A59" s="37"/>
      <c r="B59" s="37"/>
      <c r="C59" s="37"/>
      <c r="D59" s="37"/>
      <c r="E59" s="37"/>
      <c r="F59" s="40"/>
      <c r="G59" s="40"/>
      <c r="H59" s="40"/>
      <c r="I59" s="40"/>
      <c r="J59" s="40"/>
      <c r="K59" s="40"/>
      <c r="L59" s="40"/>
      <c r="M59" s="40"/>
      <c r="N59" s="40"/>
      <c r="O59" s="40"/>
      <c r="P59" s="40"/>
      <c r="Q59" s="40"/>
      <c r="R59" s="38"/>
      <c r="S59" s="38"/>
    </row>
    <row r="60" spans="1:19" x14ac:dyDescent="0.25">
      <c r="A60" s="37"/>
      <c r="B60" s="37"/>
      <c r="C60" s="37"/>
      <c r="D60" s="37"/>
      <c r="E60" s="37"/>
      <c r="F60" s="40"/>
      <c r="G60" s="40"/>
      <c r="H60" s="40"/>
      <c r="I60" s="40"/>
      <c r="J60" s="40"/>
      <c r="K60" s="40"/>
      <c r="L60" s="40"/>
      <c r="M60" s="40"/>
      <c r="N60" s="40"/>
      <c r="O60" s="40"/>
      <c r="P60" s="40"/>
      <c r="Q60" s="40"/>
      <c r="R60" s="38"/>
      <c r="S60" s="38"/>
    </row>
    <row r="61" spans="1:19" x14ac:dyDescent="0.25">
      <c r="A61" s="37"/>
      <c r="B61" s="37"/>
      <c r="C61" s="37"/>
      <c r="D61" s="37"/>
      <c r="E61" s="37"/>
      <c r="F61" s="40"/>
      <c r="G61" s="40"/>
      <c r="H61" s="40"/>
      <c r="I61" s="40"/>
      <c r="J61" s="40"/>
      <c r="K61" s="40"/>
      <c r="L61" s="40"/>
      <c r="M61" s="40"/>
      <c r="N61" s="40"/>
      <c r="O61" s="40"/>
      <c r="P61" s="40"/>
      <c r="Q61" s="40"/>
      <c r="R61" s="38"/>
      <c r="S61" s="38"/>
    </row>
    <row r="62" spans="1:19" x14ac:dyDescent="0.25">
      <c r="A62" s="37"/>
      <c r="B62" s="37"/>
      <c r="C62" s="37"/>
      <c r="D62" s="37"/>
      <c r="E62" s="37"/>
      <c r="F62" s="40"/>
      <c r="G62" s="40"/>
      <c r="H62" s="40"/>
      <c r="I62" s="40"/>
      <c r="J62" s="40"/>
      <c r="K62" s="40"/>
      <c r="L62" s="40"/>
      <c r="M62" s="40"/>
      <c r="N62" s="40"/>
      <c r="O62" s="40"/>
      <c r="P62" s="40"/>
      <c r="Q62" s="40"/>
      <c r="R62" s="38"/>
      <c r="S62" s="38"/>
    </row>
    <row r="63" spans="1:19" x14ac:dyDescent="0.25">
      <c r="A63" s="37"/>
      <c r="B63" s="37"/>
      <c r="C63" s="37"/>
      <c r="D63" s="37"/>
      <c r="E63" s="37"/>
      <c r="F63" s="40"/>
      <c r="G63" s="40"/>
      <c r="H63" s="40"/>
      <c r="I63" s="40"/>
      <c r="J63" s="40"/>
      <c r="K63" s="40"/>
      <c r="L63" s="40"/>
      <c r="M63" s="40"/>
      <c r="N63" s="40"/>
      <c r="O63" s="40"/>
      <c r="P63" s="40"/>
      <c r="Q63" s="40"/>
      <c r="R63" s="38"/>
      <c r="S63" s="38"/>
    </row>
    <row r="64" spans="1:19" x14ac:dyDescent="0.25">
      <c r="A64" s="37"/>
      <c r="B64" s="37"/>
      <c r="C64" s="37"/>
      <c r="D64" s="37"/>
      <c r="E64" s="37"/>
      <c r="F64" s="40"/>
      <c r="G64" s="40"/>
      <c r="H64" s="40"/>
      <c r="I64" s="40"/>
      <c r="J64" s="40"/>
      <c r="K64" s="40"/>
      <c r="L64" s="40"/>
      <c r="M64" s="40"/>
      <c r="N64" s="40"/>
      <c r="O64" s="40"/>
      <c r="P64" s="40"/>
      <c r="Q64" s="40"/>
      <c r="R64" s="38"/>
      <c r="S64" s="38"/>
    </row>
    <row r="65" spans="1:19" x14ac:dyDescent="0.25">
      <c r="A65" s="37"/>
      <c r="B65" s="37"/>
      <c r="C65" s="37"/>
      <c r="D65" s="37"/>
      <c r="E65" s="37"/>
      <c r="F65" s="40"/>
      <c r="G65" s="40"/>
      <c r="H65" s="40"/>
      <c r="I65" s="40"/>
      <c r="J65" s="40"/>
      <c r="K65" s="40"/>
      <c r="L65" s="40"/>
      <c r="M65" s="40"/>
      <c r="N65" s="40"/>
      <c r="O65" s="40"/>
      <c r="P65" s="40"/>
      <c r="Q65" s="40"/>
      <c r="R65" s="38"/>
      <c r="S65" s="38"/>
    </row>
    <row r="66" spans="1:19" x14ac:dyDescent="0.25">
      <c r="A66" s="37"/>
      <c r="B66" s="37"/>
      <c r="C66" s="37"/>
      <c r="D66" s="37"/>
      <c r="E66" s="37"/>
      <c r="F66" s="40"/>
      <c r="G66" s="40"/>
      <c r="H66" s="40"/>
      <c r="I66" s="40"/>
      <c r="J66" s="40"/>
      <c r="K66" s="40"/>
      <c r="L66" s="40"/>
      <c r="M66" s="40"/>
      <c r="N66" s="40"/>
      <c r="O66" s="40"/>
      <c r="P66" s="40"/>
      <c r="Q66" s="40"/>
      <c r="R66" s="38"/>
      <c r="S66" s="38"/>
    </row>
    <row r="67" spans="1:19" x14ac:dyDescent="0.25">
      <c r="A67" s="37"/>
      <c r="B67" s="37"/>
      <c r="C67" s="37"/>
      <c r="D67" s="37"/>
      <c r="E67" s="37"/>
      <c r="F67" s="40"/>
      <c r="G67" s="40"/>
      <c r="H67" s="40"/>
      <c r="I67" s="40"/>
      <c r="J67" s="40"/>
      <c r="K67" s="40"/>
      <c r="L67" s="40"/>
      <c r="M67" s="40"/>
      <c r="N67" s="40"/>
      <c r="O67" s="40"/>
      <c r="P67" s="40"/>
      <c r="Q67" s="40"/>
      <c r="R67" s="38"/>
      <c r="S67" s="38"/>
    </row>
    <row r="68" spans="1:19" x14ac:dyDescent="0.25">
      <c r="A68" s="37"/>
      <c r="B68" s="37"/>
      <c r="C68" s="37"/>
      <c r="D68" s="37"/>
      <c r="E68" s="37"/>
      <c r="F68" s="40"/>
      <c r="G68" s="40"/>
      <c r="H68" s="40"/>
      <c r="I68" s="40"/>
      <c r="J68" s="40"/>
      <c r="K68" s="40"/>
      <c r="L68" s="40"/>
      <c r="M68" s="40"/>
      <c r="N68" s="40"/>
      <c r="O68" s="40"/>
      <c r="P68" s="40"/>
      <c r="Q68" s="40"/>
      <c r="R68" s="38"/>
      <c r="S68" s="38"/>
    </row>
    <row r="69" spans="1:19" x14ac:dyDescent="0.25">
      <c r="A69" s="37"/>
      <c r="B69" s="37"/>
      <c r="C69" s="37"/>
      <c r="D69" s="37"/>
      <c r="E69" s="37"/>
      <c r="F69" s="40"/>
      <c r="G69" s="40"/>
      <c r="H69" s="40"/>
      <c r="I69" s="40"/>
      <c r="J69" s="40"/>
      <c r="K69" s="40"/>
      <c r="L69" s="40"/>
      <c r="M69" s="40"/>
      <c r="N69" s="40"/>
      <c r="O69" s="40"/>
      <c r="P69" s="40"/>
      <c r="Q69" s="40"/>
      <c r="R69" s="38"/>
      <c r="S69" s="38"/>
    </row>
    <row r="70" spans="1:19" x14ac:dyDescent="0.25">
      <c r="A70" s="37"/>
      <c r="B70" s="37"/>
      <c r="C70" s="37"/>
      <c r="D70" s="37"/>
      <c r="E70" s="37"/>
      <c r="F70" s="40"/>
      <c r="G70" s="40"/>
      <c r="H70" s="40"/>
      <c r="I70" s="40"/>
      <c r="J70" s="40"/>
      <c r="K70" s="40"/>
      <c r="L70" s="40"/>
      <c r="M70" s="40"/>
      <c r="N70" s="40"/>
      <c r="O70" s="40"/>
      <c r="P70" s="40"/>
      <c r="Q70" s="40"/>
      <c r="R70" s="38"/>
      <c r="S70" s="38"/>
    </row>
    <row r="71" spans="1:19" x14ac:dyDescent="0.25">
      <c r="A71" s="37"/>
      <c r="B71" s="37"/>
      <c r="C71" s="37"/>
      <c r="D71" s="37"/>
      <c r="E71" s="37"/>
      <c r="F71" s="40"/>
      <c r="G71" s="40"/>
      <c r="H71" s="40"/>
      <c r="I71" s="40"/>
      <c r="J71" s="40"/>
      <c r="K71" s="40"/>
      <c r="L71" s="40"/>
      <c r="M71" s="40"/>
      <c r="N71" s="40"/>
      <c r="O71" s="40"/>
      <c r="P71" s="40"/>
      <c r="Q71" s="40"/>
      <c r="R71" s="38"/>
      <c r="S71" s="38"/>
    </row>
    <row r="72" spans="1:19" x14ac:dyDescent="0.25">
      <c r="A72" s="37"/>
      <c r="B72" s="37"/>
      <c r="C72" s="37"/>
      <c r="D72" s="37"/>
      <c r="E72" s="37"/>
      <c r="F72" s="40"/>
      <c r="G72" s="40"/>
      <c r="H72" s="40"/>
      <c r="I72" s="40"/>
      <c r="J72" s="40"/>
      <c r="K72" s="40"/>
      <c r="L72" s="40"/>
      <c r="M72" s="40"/>
      <c r="N72" s="40"/>
      <c r="O72" s="40"/>
      <c r="P72" s="40"/>
      <c r="Q72" s="40"/>
      <c r="R72" s="38"/>
      <c r="S72" s="38"/>
    </row>
    <row r="73" spans="1:19" x14ac:dyDescent="0.25">
      <c r="A73" s="37"/>
      <c r="B73" s="37"/>
      <c r="C73" s="37"/>
      <c r="D73" s="37"/>
      <c r="E73" s="37"/>
      <c r="F73" s="40"/>
      <c r="G73" s="40"/>
      <c r="H73" s="40"/>
      <c r="I73" s="40"/>
      <c r="J73" s="40"/>
      <c r="K73" s="40"/>
      <c r="L73" s="40"/>
      <c r="M73" s="40"/>
      <c r="N73" s="40"/>
      <c r="O73" s="40"/>
      <c r="P73" s="40"/>
      <c r="Q73" s="40"/>
      <c r="R73" s="38"/>
      <c r="S73" s="38"/>
    </row>
    <row r="74" spans="1:19" x14ac:dyDescent="0.25">
      <c r="A74" s="37"/>
      <c r="B74" s="37"/>
      <c r="C74" s="37"/>
      <c r="D74" s="37"/>
      <c r="E74" s="37"/>
      <c r="F74" s="40"/>
      <c r="G74" s="40"/>
      <c r="H74" s="40"/>
      <c r="I74" s="40"/>
      <c r="J74" s="40"/>
      <c r="K74" s="40"/>
      <c r="L74" s="40"/>
      <c r="M74" s="40"/>
      <c r="N74" s="40"/>
      <c r="O74" s="40"/>
      <c r="P74" s="40"/>
      <c r="Q74" s="40"/>
      <c r="R74" s="38"/>
      <c r="S74" s="38"/>
    </row>
    <row r="75" spans="1:19" x14ac:dyDescent="0.25">
      <c r="A75" s="37"/>
      <c r="B75" s="37"/>
      <c r="C75" s="37"/>
      <c r="D75" s="37"/>
      <c r="E75" s="37"/>
      <c r="F75" s="40"/>
      <c r="G75" s="40"/>
      <c r="H75" s="40"/>
      <c r="I75" s="40"/>
      <c r="J75" s="40"/>
      <c r="K75" s="40"/>
      <c r="L75" s="40"/>
      <c r="M75" s="40"/>
      <c r="N75" s="40"/>
      <c r="O75" s="40"/>
      <c r="P75" s="40"/>
      <c r="Q75" s="40"/>
      <c r="R75" s="38"/>
      <c r="S75" s="38"/>
    </row>
    <row r="76" spans="1:19" x14ac:dyDescent="0.25">
      <c r="A76" s="37"/>
      <c r="B76" s="37"/>
      <c r="C76" s="37"/>
      <c r="D76" s="37"/>
      <c r="E76" s="37"/>
      <c r="F76" s="40"/>
      <c r="G76" s="40"/>
      <c r="H76" s="40"/>
      <c r="I76" s="40"/>
      <c r="J76" s="40"/>
      <c r="K76" s="40"/>
      <c r="L76" s="40"/>
      <c r="M76" s="40"/>
      <c r="N76" s="40"/>
      <c r="O76" s="40"/>
      <c r="P76" s="40"/>
      <c r="Q76" s="40"/>
      <c r="R76" s="38"/>
      <c r="S76" s="38"/>
    </row>
    <row r="77" spans="1:19" x14ac:dyDescent="0.25">
      <c r="A77" s="37"/>
      <c r="B77" s="37"/>
      <c r="C77" s="37"/>
      <c r="D77" s="37"/>
      <c r="E77" s="37"/>
      <c r="F77" s="40"/>
      <c r="G77" s="40"/>
      <c r="H77" s="40"/>
      <c r="I77" s="40"/>
      <c r="J77" s="40"/>
      <c r="K77" s="40"/>
      <c r="L77" s="40"/>
      <c r="M77" s="40"/>
      <c r="N77" s="40"/>
      <c r="O77" s="40"/>
      <c r="P77" s="40"/>
      <c r="Q77" s="40"/>
      <c r="R77" s="38"/>
      <c r="S77" s="38"/>
    </row>
    <row r="78" spans="1:19" x14ac:dyDescent="0.25">
      <c r="A78" s="37"/>
      <c r="B78" s="37"/>
      <c r="C78" s="37"/>
      <c r="D78" s="37"/>
      <c r="E78" s="37"/>
      <c r="F78" s="40"/>
      <c r="G78" s="40"/>
      <c r="H78" s="40"/>
      <c r="I78" s="40"/>
      <c r="J78" s="40"/>
      <c r="K78" s="40"/>
      <c r="L78" s="40"/>
      <c r="M78" s="40"/>
      <c r="N78" s="40"/>
      <c r="O78" s="40"/>
      <c r="P78" s="40"/>
      <c r="Q78" s="40"/>
      <c r="R78" s="38"/>
      <c r="S78" s="38"/>
    </row>
    <row r="79" spans="1:19" x14ac:dyDescent="0.25">
      <c r="A79" s="37"/>
      <c r="B79" s="37"/>
      <c r="C79" s="37"/>
      <c r="D79" s="37"/>
      <c r="E79" s="37"/>
      <c r="F79" s="40"/>
      <c r="G79" s="40"/>
      <c r="H79" s="40"/>
      <c r="I79" s="40"/>
      <c r="J79" s="40"/>
      <c r="K79" s="40"/>
      <c r="L79" s="40"/>
      <c r="M79" s="40"/>
      <c r="N79" s="40"/>
      <c r="O79" s="40"/>
      <c r="P79" s="40"/>
      <c r="Q79" s="40"/>
      <c r="R79" s="38"/>
      <c r="S79" s="38"/>
    </row>
    <row r="80" spans="1:19" x14ac:dyDescent="0.25">
      <c r="A80" s="37"/>
      <c r="B80" s="37"/>
      <c r="C80" s="37"/>
      <c r="D80" s="37"/>
      <c r="E80" s="37"/>
      <c r="F80" s="40"/>
      <c r="G80" s="40"/>
      <c r="H80" s="40"/>
      <c r="I80" s="40"/>
      <c r="J80" s="40"/>
      <c r="K80" s="40"/>
      <c r="L80" s="40"/>
      <c r="M80" s="40"/>
      <c r="N80" s="40"/>
      <c r="O80" s="40"/>
      <c r="P80" s="40"/>
      <c r="Q80" s="40"/>
      <c r="R80" s="38"/>
      <c r="S80" s="38"/>
    </row>
    <row r="81" spans="1:19" x14ac:dyDescent="0.25">
      <c r="A81" s="37"/>
      <c r="B81" s="37"/>
      <c r="C81" s="37"/>
      <c r="D81" s="37"/>
      <c r="E81" s="37"/>
      <c r="F81" s="40"/>
      <c r="G81" s="40"/>
      <c r="H81" s="40"/>
      <c r="I81" s="40"/>
      <c r="J81" s="40"/>
      <c r="K81" s="40"/>
      <c r="L81" s="40"/>
      <c r="M81" s="40"/>
      <c r="N81" s="40"/>
      <c r="O81" s="40"/>
      <c r="P81" s="40"/>
      <c r="Q81" s="40"/>
      <c r="R81" s="38"/>
      <c r="S81" s="38"/>
    </row>
    <row r="82" spans="1:19" x14ac:dyDescent="0.25">
      <c r="A82" s="37"/>
      <c r="B82" s="37"/>
      <c r="C82" s="37"/>
      <c r="D82" s="37"/>
      <c r="E82" s="37"/>
      <c r="F82" s="40"/>
      <c r="G82" s="40"/>
      <c r="H82" s="40"/>
      <c r="I82" s="40"/>
      <c r="J82" s="40"/>
      <c r="K82" s="40"/>
      <c r="L82" s="40"/>
      <c r="M82" s="40"/>
      <c r="N82" s="40"/>
      <c r="O82" s="40"/>
      <c r="P82" s="40"/>
      <c r="Q82" s="40"/>
      <c r="R82" s="38"/>
      <c r="S82" s="38"/>
    </row>
    <row r="83" spans="1:19" x14ac:dyDescent="0.25">
      <c r="A83" s="37"/>
      <c r="B83" s="37"/>
      <c r="C83" s="37"/>
      <c r="D83" s="37"/>
      <c r="E83" s="37"/>
      <c r="F83" s="40"/>
      <c r="G83" s="40"/>
      <c r="H83" s="40"/>
      <c r="I83" s="40"/>
      <c r="J83" s="40"/>
      <c r="K83" s="40"/>
      <c r="L83" s="40"/>
      <c r="M83" s="40"/>
      <c r="N83" s="40"/>
      <c r="O83" s="40"/>
      <c r="P83" s="40"/>
      <c r="Q83" s="40"/>
      <c r="R83" s="38"/>
      <c r="S83" s="38"/>
    </row>
    <row r="84" spans="1:19" x14ac:dyDescent="0.25">
      <c r="A84" s="37"/>
      <c r="B84" s="37"/>
      <c r="C84" s="37"/>
      <c r="D84" s="37"/>
      <c r="E84" s="37"/>
      <c r="F84" s="40"/>
      <c r="G84" s="40"/>
      <c r="H84" s="40"/>
      <c r="I84" s="40"/>
      <c r="J84" s="40"/>
      <c r="K84" s="40"/>
      <c r="L84" s="40"/>
      <c r="M84" s="40"/>
      <c r="N84" s="40"/>
      <c r="O84" s="40"/>
      <c r="P84" s="40"/>
      <c r="Q84" s="40"/>
      <c r="R84" s="38"/>
      <c r="S84" s="38"/>
    </row>
    <row r="85" spans="1:19" x14ac:dyDescent="0.25">
      <c r="A85" s="37"/>
      <c r="B85" s="37"/>
      <c r="C85" s="37"/>
      <c r="D85" s="37"/>
      <c r="E85" s="37"/>
      <c r="F85" s="40"/>
      <c r="G85" s="40"/>
      <c r="H85" s="40"/>
      <c r="I85" s="40"/>
      <c r="J85" s="40"/>
      <c r="K85" s="40"/>
      <c r="L85" s="40"/>
      <c r="M85" s="40"/>
      <c r="N85" s="40"/>
      <c r="O85" s="40"/>
      <c r="P85" s="40"/>
      <c r="Q85" s="40"/>
      <c r="R85" s="38"/>
      <c r="S85" s="38"/>
    </row>
    <row r="86" spans="1:19" x14ac:dyDescent="0.25">
      <c r="A86" s="37"/>
      <c r="B86" s="37"/>
      <c r="C86" s="37"/>
      <c r="D86" s="37"/>
      <c r="E86" s="37"/>
      <c r="F86" s="40"/>
      <c r="G86" s="40"/>
      <c r="H86" s="40"/>
      <c r="I86" s="40"/>
      <c r="J86" s="40"/>
      <c r="K86" s="40"/>
      <c r="L86" s="40"/>
      <c r="M86" s="40"/>
      <c r="N86" s="40"/>
      <c r="O86" s="40"/>
      <c r="P86" s="40"/>
      <c r="Q86" s="40"/>
      <c r="R86" s="38"/>
      <c r="S86" s="38"/>
    </row>
    <row r="87" spans="1:19" x14ac:dyDescent="0.25">
      <c r="A87" s="37"/>
      <c r="B87" s="37"/>
      <c r="C87" s="37"/>
      <c r="D87" s="37"/>
      <c r="E87" s="37"/>
      <c r="F87" s="40"/>
      <c r="G87" s="40"/>
      <c r="H87" s="40"/>
      <c r="I87" s="40"/>
      <c r="J87" s="40"/>
      <c r="K87" s="40"/>
      <c r="L87" s="40"/>
      <c r="M87" s="40"/>
      <c r="N87" s="40"/>
      <c r="O87" s="40"/>
      <c r="P87" s="40"/>
      <c r="Q87" s="40"/>
      <c r="R87" s="38"/>
      <c r="S87" s="38"/>
    </row>
    <row r="88" spans="1:19" x14ac:dyDescent="0.25">
      <c r="A88" s="37"/>
      <c r="B88" s="37"/>
      <c r="C88" s="37"/>
      <c r="D88" s="37"/>
      <c r="E88" s="37"/>
      <c r="F88" s="40"/>
      <c r="G88" s="40"/>
      <c r="H88" s="40"/>
      <c r="I88" s="40"/>
      <c r="J88" s="40"/>
      <c r="K88" s="40"/>
      <c r="L88" s="40"/>
      <c r="M88" s="40"/>
      <c r="N88" s="40"/>
      <c r="O88" s="40"/>
      <c r="P88" s="40"/>
      <c r="Q88" s="40"/>
      <c r="R88" s="38"/>
      <c r="S88" s="38"/>
    </row>
    <row r="89" spans="1:19" x14ac:dyDescent="0.25">
      <c r="A89" s="37"/>
      <c r="B89" s="37"/>
      <c r="C89" s="37"/>
      <c r="D89" s="37"/>
      <c r="E89" s="37"/>
      <c r="F89" s="40"/>
      <c r="G89" s="40"/>
      <c r="H89" s="40"/>
      <c r="I89" s="40"/>
      <c r="J89" s="40"/>
      <c r="K89" s="40"/>
      <c r="L89" s="40"/>
      <c r="M89" s="40"/>
      <c r="N89" s="40"/>
      <c r="O89" s="40"/>
      <c r="P89" s="40"/>
      <c r="Q89" s="40"/>
      <c r="R89" s="38"/>
      <c r="S89" s="38"/>
    </row>
    <row r="90" spans="1:19" x14ac:dyDescent="0.25">
      <c r="A90" s="37"/>
      <c r="B90" s="37"/>
      <c r="C90" s="37"/>
      <c r="D90" s="37"/>
      <c r="E90" s="37"/>
      <c r="F90" s="40"/>
      <c r="G90" s="40"/>
      <c r="H90" s="40"/>
      <c r="I90" s="40"/>
      <c r="J90" s="40"/>
      <c r="K90" s="40"/>
      <c r="L90" s="40"/>
      <c r="M90" s="40"/>
      <c r="N90" s="40"/>
      <c r="O90" s="40"/>
      <c r="P90" s="40"/>
      <c r="Q90" s="40"/>
      <c r="R90" s="38"/>
      <c r="S90" s="38"/>
    </row>
    <row r="91" spans="1:19" x14ac:dyDescent="0.25">
      <c r="A91" s="37"/>
      <c r="B91" s="37"/>
      <c r="C91" s="37"/>
      <c r="D91" s="37"/>
      <c r="E91" s="37"/>
      <c r="F91" s="40"/>
      <c r="G91" s="40"/>
      <c r="H91" s="40"/>
      <c r="I91" s="40"/>
      <c r="J91" s="40"/>
      <c r="K91" s="40"/>
      <c r="L91" s="40"/>
      <c r="M91" s="40"/>
      <c r="N91" s="40"/>
      <c r="O91" s="40"/>
      <c r="P91" s="40"/>
      <c r="Q91" s="40"/>
      <c r="R91" s="38"/>
      <c r="S91" s="38"/>
    </row>
    <row r="92" spans="1:19" x14ac:dyDescent="0.25">
      <c r="A92" s="37"/>
      <c r="B92" s="37"/>
      <c r="C92" s="37"/>
      <c r="D92" s="37"/>
      <c r="E92" s="37"/>
      <c r="F92" s="40"/>
      <c r="G92" s="40"/>
      <c r="H92" s="40"/>
      <c r="I92" s="40"/>
      <c r="J92" s="40"/>
      <c r="K92" s="40"/>
      <c r="L92" s="40"/>
      <c r="M92" s="40"/>
      <c r="N92" s="40"/>
      <c r="O92" s="40"/>
      <c r="P92" s="40"/>
      <c r="Q92" s="40"/>
      <c r="R92" s="38"/>
      <c r="S92" s="38"/>
    </row>
    <row r="93" spans="1:19" x14ac:dyDescent="0.25">
      <c r="A93" s="37"/>
      <c r="B93" s="37"/>
      <c r="C93" s="37"/>
      <c r="D93" s="37"/>
      <c r="E93" s="37"/>
      <c r="F93" s="40"/>
      <c r="G93" s="40"/>
      <c r="H93" s="40"/>
      <c r="I93" s="40"/>
      <c r="J93" s="40"/>
      <c r="K93" s="40"/>
      <c r="L93" s="40"/>
      <c r="M93" s="40"/>
      <c r="N93" s="40"/>
      <c r="O93" s="40"/>
      <c r="P93" s="40"/>
      <c r="Q93" s="40"/>
      <c r="R93" s="38"/>
      <c r="S93" s="38"/>
    </row>
    <row r="94" spans="1:19" x14ac:dyDescent="0.25">
      <c r="A94" s="37"/>
      <c r="B94" s="37"/>
      <c r="C94" s="37"/>
      <c r="D94" s="37"/>
      <c r="E94" s="37"/>
      <c r="F94" s="40"/>
      <c r="G94" s="40"/>
      <c r="H94" s="40"/>
      <c r="I94" s="40"/>
      <c r="J94" s="40"/>
      <c r="K94" s="40"/>
      <c r="L94" s="40"/>
      <c r="M94" s="40"/>
      <c r="N94" s="40"/>
      <c r="O94" s="40"/>
      <c r="P94" s="40"/>
      <c r="Q94" s="40"/>
      <c r="R94" s="38"/>
      <c r="S94" s="38"/>
    </row>
    <row r="95" spans="1:19" x14ac:dyDescent="0.25">
      <c r="A95" s="37"/>
      <c r="B95" s="37"/>
      <c r="C95" s="37"/>
      <c r="D95" s="37"/>
      <c r="E95" s="37"/>
      <c r="F95" s="40"/>
      <c r="G95" s="40"/>
      <c r="H95" s="40"/>
      <c r="I95" s="40"/>
      <c r="J95" s="40"/>
      <c r="K95" s="40"/>
      <c r="L95" s="40"/>
      <c r="M95" s="40"/>
      <c r="N95" s="40"/>
      <c r="O95" s="40"/>
      <c r="P95" s="40"/>
      <c r="Q95" s="40"/>
      <c r="R95" s="38"/>
      <c r="S95" s="38"/>
    </row>
    <row r="96" spans="1:19" x14ac:dyDescent="0.25">
      <c r="A96" s="37"/>
      <c r="B96" s="37"/>
      <c r="C96" s="37"/>
      <c r="D96" s="37"/>
      <c r="E96" s="37"/>
      <c r="F96" s="40"/>
      <c r="G96" s="40"/>
      <c r="H96" s="40"/>
      <c r="I96" s="40"/>
      <c r="J96" s="40"/>
      <c r="K96" s="40"/>
      <c r="L96" s="40"/>
      <c r="M96" s="40"/>
      <c r="N96" s="40"/>
      <c r="O96" s="40"/>
      <c r="P96" s="40"/>
      <c r="Q96" s="40"/>
      <c r="R96" s="38"/>
      <c r="S96" s="38"/>
    </row>
    <row r="97" spans="1:19" x14ac:dyDescent="0.25">
      <c r="A97" s="37"/>
      <c r="B97" s="37"/>
      <c r="C97" s="37"/>
      <c r="D97" s="37"/>
      <c r="E97" s="37"/>
      <c r="F97" s="40"/>
      <c r="G97" s="40"/>
      <c r="H97" s="40"/>
      <c r="I97" s="40"/>
      <c r="J97" s="40"/>
      <c r="K97" s="40"/>
      <c r="L97" s="40"/>
      <c r="M97" s="40"/>
      <c r="N97" s="40"/>
      <c r="O97" s="40"/>
      <c r="P97" s="40"/>
      <c r="Q97" s="40"/>
      <c r="R97" s="38"/>
      <c r="S97" s="38"/>
    </row>
    <row r="98" spans="1:19" x14ac:dyDescent="0.25">
      <c r="A98" s="37"/>
      <c r="B98" s="37"/>
      <c r="C98" s="37"/>
      <c r="D98" s="37"/>
      <c r="E98" s="37"/>
      <c r="F98" s="40"/>
      <c r="G98" s="40"/>
      <c r="H98" s="40"/>
      <c r="I98" s="40"/>
      <c r="J98" s="40"/>
      <c r="K98" s="40"/>
      <c r="L98" s="40"/>
      <c r="M98" s="40"/>
      <c r="N98" s="40"/>
      <c r="O98" s="40"/>
      <c r="P98" s="40"/>
      <c r="Q98" s="40"/>
      <c r="R98" s="38"/>
      <c r="S98" s="38"/>
    </row>
    <row r="99" spans="1:19" x14ac:dyDescent="0.25">
      <c r="A99" s="37"/>
      <c r="B99" s="37"/>
      <c r="C99" s="37"/>
      <c r="D99" s="37"/>
      <c r="E99" s="37"/>
      <c r="F99" s="40"/>
      <c r="G99" s="40"/>
      <c r="H99" s="40"/>
      <c r="I99" s="40"/>
      <c r="J99" s="40"/>
      <c r="K99" s="40"/>
      <c r="L99" s="40"/>
      <c r="M99" s="40"/>
      <c r="N99" s="40"/>
      <c r="O99" s="40"/>
      <c r="P99" s="40"/>
      <c r="Q99" s="40"/>
      <c r="R99" s="38"/>
      <c r="S99" s="38"/>
    </row>
    <row r="100" spans="1:19" x14ac:dyDescent="0.25">
      <c r="A100" s="37"/>
      <c r="B100" s="37"/>
      <c r="C100" s="37"/>
      <c r="D100" s="37"/>
      <c r="E100" s="37"/>
      <c r="F100" s="40"/>
      <c r="G100" s="40"/>
      <c r="H100" s="40"/>
      <c r="I100" s="40"/>
      <c r="J100" s="40"/>
      <c r="K100" s="40"/>
      <c r="L100" s="40"/>
      <c r="M100" s="40"/>
      <c r="N100" s="40"/>
      <c r="O100" s="40"/>
      <c r="P100" s="40"/>
      <c r="Q100" s="40"/>
      <c r="R100" s="38"/>
      <c r="S100" s="38"/>
    </row>
    <row r="101" spans="1:19" x14ac:dyDescent="0.25">
      <c r="A101" s="37"/>
      <c r="B101" s="37"/>
      <c r="C101" s="37"/>
      <c r="D101" s="37"/>
      <c r="E101" s="37"/>
      <c r="F101" s="40"/>
      <c r="G101" s="40"/>
      <c r="H101" s="40"/>
      <c r="I101" s="40"/>
      <c r="J101" s="40"/>
      <c r="K101" s="40"/>
      <c r="L101" s="40"/>
      <c r="M101" s="40"/>
      <c r="N101" s="40"/>
      <c r="O101" s="40"/>
      <c r="P101" s="40"/>
      <c r="Q101" s="40"/>
      <c r="R101" s="38"/>
      <c r="S101" s="38"/>
    </row>
    <row r="102" spans="1:19" x14ac:dyDescent="0.25">
      <c r="A102" s="37"/>
      <c r="B102" s="37"/>
      <c r="C102" s="37"/>
      <c r="D102" s="37"/>
      <c r="E102" s="37"/>
      <c r="F102" s="40"/>
      <c r="G102" s="40"/>
      <c r="H102" s="40"/>
      <c r="I102" s="40"/>
      <c r="J102" s="40"/>
      <c r="K102" s="40"/>
      <c r="L102" s="40"/>
      <c r="M102" s="40"/>
      <c r="N102" s="40"/>
      <c r="O102" s="40"/>
      <c r="P102" s="40"/>
      <c r="Q102" s="40"/>
      <c r="R102" s="38"/>
      <c r="S102" s="38"/>
    </row>
    <row r="103" spans="1:19" x14ac:dyDescent="0.25">
      <c r="A103" s="37"/>
      <c r="B103" s="37"/>
      <c r="C103" s="37"/>
      <c r="D103" s="37"/>
      <c r="E103" s="37"/>
      <c r="F103" s="40"/>
      <c r="G103" s="40"/>
      <c r="H103" s="40"/>
      <c r="I103" s="40"/>
      <c r="J103" s="40"/>
      <c r="K103" s="40"/>
      <c r="L103" s="40"/>
      <c r="M103" s="40"/>
      <c r="N103" s="40"/>
      <c r="O103" s="40"/>
      <c r="P103" s="40"/>
      <c r="Q103" s="40"/>
      <c r="R103" s="38"/>
      <c r="S103" s="38"/>
    </row>
    <row r="104" spans="1:19" x14ac:dyDescent="0.25">
      <c r="A104" s="37"/>
      <c r="B104" s="37"/>
      <c r="C104" s="37"/>
      <c r="D104" s="37"/>
      <c r="E104" s="37"/>
      <c r="F104" s="40"/>
      <c r="G104" s="40"/>
      <c r="H104" s="40"/>
      <c r="I104" s="40"/>
      <c r="J104" s="40"/>
      <c r="K104" s="40"/>
      <c r="L104" s="40"/>
      <c r="M104" s="40"/>
      <c r="N104" s="40"/>
      <c r="O104" s="40"/>
      <c r="P104" s="40"/>
      <c r="Q104" s="40"/>
      <c r="R104" s="38"/>
      <c r="S104" s="38"/>
    </row>
    <row r="105" spans="1:19" x14ac:dyDescent="0.25">
      <c r="A105" s="37"/>
      <c r="B105" s="37"/>
      <c r="C105" s="37"/>
      <c r="D105" s="37"/>
      <c r="E105" s="37"/>
      <c r="F105" s="40"/>
      <c r="G105" s="40"/>
      <c r="H105" s="40"/>
      <c r="I105" s="40"/>
      <c r="J105" s="40"/>
      <c r="K105" s="40"/>
      <c r="L105" s="40"/>
      <c r="M105" s="40"/>
      <c r="N105" s="40"/>
      <c r="O105" s="40"/>
      <c r="P105" s="40"/>
      <c r="Q105" s="40"/>
      <c r="R105" s="38"/>
      <c r="S105" s="38"/>
    </row>
    <row r="106" spans="1:19" x14ac:dyDescent="0.25">
      <c r="A106" s="37"/>
      <c r="B106" s="37"/>
      <c r="C106" s="37"/>
      <c r="D106" s="37"/>
      <c r="E106" s="37"/>
      <c r="F106" s="40"/>
      <c r="G106" s="40"/>
      <c r="H106" s="40"/>
      <c r="I106" s="40"/>
      <c r="J106" s="40"/>
      <c r="K106" s="40"/>
      <c r="L106" s="40"/>
      <c r="M106" s="40"/>
      <c r="N106" s="40"/>
      <c r="O106" s="40"/>
      <c r="P106" s="40"/>
      <c r="Q106" s="40"/>
      <c r="R106" s="38"/>
      <c r="S106" s="38"/>
    </row>
    <row r="107" spans="1:19" x14ac:dyDescent="0.25">
      <c r="A107" s="37"/>
      <c r="B107" s="37"/>
      <c r="C107" s="37"/>
      <c r="D107" s="37"/>
      <c r="E107" s="37"/>
      <c r="F107" s="40"/>
      <c r="G107" s="40"/>
      <c r="H107" s="40"/>
      <c r="I107" s="40"/>
      <c r="J107" s="40"/>
      <c r="K107" s="40"/>
      <c r="L107" s="40"/>
      <c r="M107" s="40"/>
      <c r="N107" s="40"/>
      <c r="O107" s="40"/>
      <c r="P107" s="40"/>
      <c r="Q107" s="40"/>
      <c r="R107" s="38"/>
      <c r="S107" s="38"/>
    </row>
    <row r="108" spans="1:19" x14ac:dyDescent="0.25">
      <c r="A108" s="37"/>
      <c r="B108" s="37"/>
      <c r="C108" s="37"/>
      <c r="D108" s="37"/>
      <c r="E108" s="37"/>
      <c r="F108" s="40"/>
      <c r="G108" s="40"/>
      <c r="H108" s="40"/>
      <c r="I108" s="40"/>
      <c r="J108" s="40"/>
      <c r="K108" s="40"/>
      <c r="L108" s="40"/>
      <c r="M108" s="40"/>
      <c r="N108" s="40"/>
      <c r="O108" s="40"/>
      <c r="P108" s="40"/>
      <c r="Q108" s="40"/>
      <c r="R108" s="38"/>
      <c r="S108" s="38"/>
    </row>
    <row r="109" spans="1:19" x14ac:dyDescent="0.25">
      <c r="A109" s="37"/>
      <c r="B109" s="37"/>
      <c r="C109" s="37"/>
      <c r="D109" s="37"/>
      <c r="E109" s="37"/>
      <c r="F109" s="40"/>
      <c r="G109" s="40"/>
      <c r="H109" s="40"/>
      <c r="I109" s="40"/>
      <c r="J109" s="40"/>
      <c r="K109" s="40"/>
      <c r="L109" s="40"/>
      <c r="M109" s="40"/>
      <c r="N109" s="40"/>
      <c r="O109" s="40"/>
      <c r="P109" s="40"/>
      <c r="Q109" s="40"/>
      <c r="R109" s="38"/>
      <c r="S109" s="38"/>
    </row>
    <row r="110" spans="1:19" x14ac:dyDescent="0.25">
      <c r="A110" s="37"/>
      <c r="B110" s="37"/>
      <c r="C110" s="37"/>
      <c r="D110" s="37"/>
      <c r="E110" s="37"/>
      <c r="F110" s="40"/>
      <c r="G110" s="40"/>
      <c r="H110" s="40"/>
      <c r="I110" s="40"/>
      <c r="J110" s="40"/>
      <c r="K110" s="40"/>
      <c r="L110" s="40"/>
      <c r="M110" s="40"/>
      <c r="N110" s="40"/>
      <c r="O110" s="40"/>
      <c r="P110" s="40"/>
      <c r="Q110" s="40"/>
      <c r="R110" s="38"/>
      <c r="S110" s="38"/>
    </row>
    <row r="111" spans="1:19" x14ac:dyDescent="0.25">
      <c r="A111" s="37"/>
      <c r="B111" s="37"/>
      <c r="C111" s="37"/>
      <c r="D111" s="37"/>
      <c r="E111" s="37"/>
      <c r="F111" s="40"/>
      <c r="G111" s="40"/>
      <c r="H111" s="40"/>
      <c r="I111" s="40"/>
      <c r="J111" s="40"/>
      <c r="K111" s="40"/>
      <c r="L111" s="40"/>
      <c r="M111" s="40"/>
      <c r="N111" s="40"/>
      <c r="O111" s="40"/>
      <c r="P111" s="40"/>
      <c r="Q111" s="40"/>
      <c r="R111" s="38"/>
      <c r="S111" s="38"/>
    </row>
    <row r="112" spans="1:19" x14ac:dyDescent="0.25">
      <c r="A112" s="37"/>
      <c r="B112" s="37"/>
      <c r="C112" s="37"/>
      <c r="D112" s="37"/>
      <c r="E112" s="37"/>
      <c r="F112" s="40"/>
      <c r="G112" s="40"/>
      <c r="H112" s="40"/>
      <c r="I112" s="40"/>
      <c r="J112" s="40"/>
      <c r="K112" s="40"/>
      <c r="L112" s="40"/>
      <c r="M112" s="40"/>
      <c r="N112" s="40"/>
      <c r="O112" s="40"/>
      <c r="P112" s="40"/>
      <c r="Q112" s="40"/>
      <c r="R112" s="38"/>
      <c r="S112" s="38"/>
    </row>
    <row r="113" spans="1:19" x14ac:dyDescent="0.25">
      <c r="A113" s="37"/>
      <c r="B113" s="37"/>
      <c r="C113" s="37"/>
      <c r="D113" s="37"/>
      <c r="E113" s="37"/>
      <c r="F113" s="40"/>
      <c r="G113" s="40"/>
      <c r="H113" s="40"/>
      <c r="I113" s="40"/>
      <c r="J113" s="40"/>
      <c r="K113" s="40"/>
      <c r="L113" s="40"/>
      <c r="M113" s="40"/>
      <c r="N113" s="40"/>
      <c r="O113" s="40"/>
      <c r="P113" s="40"/>
      <c r="Q113" s="40"/>
      <c r="R113" s="38"/>
      <c r="S113" s="38"/>
    </row>
    <row r="114" spans="1:19" x14ac:dyDescent="0.25">
      <c r="A114" s="37"/>
      <c r="B114" s="37"/>
      <c r="C114" s="37"/>
      <c r="D114" s="37"/>
      <c r="E114" s="37"/>
      <c r="F114" s="40"/>
      <c r="G114" s="40"/>
      <c r="H114" s="40"/>
      <c r="I114" s="40"/>
      <c r="J114" s="40"/>
      <c r="K114" s="40"/>
      <c r="L114" s="40"/>
      <c r="M114" s="40"/>
      <c r="N114" s="40"/>
      <c r="O114" s="40"/>
      <c r="P114" s="40"/>
      <c r="Q114" s="40"/>
      <c r="R114" s="38"/>
      <c r="S114" s="38"/>
    </row>
    <row r="115" spans="1:19" x14ac:dyDescent="0.25">
      <c r="A115" s="37"/>
      <c r="B115" s="37"/>
      <c r="C115" s="37"/>
      <c r="D115" s="37"/>
      <c r="E115" s="37"/>
      <c r="F115" s="40"/>
      <c r="G115" s="40"/>
      <c r="H115" s="40"/>
      <c r="I115" s="40"/>
      <c r="J115" s="40"/>
      <c r="K115" s="40"/>
      <c r="L115" s="40"/>
      <c r="M115" s="40"/>
      <c r="N115" s="40"/>
      <c r="O115" s="40"/>
      <c r="P115" s="40"/>
      <c r="Q115" s="40"/>
      <c r="R115" s="38"/>
      <c r="S115" s="38"/>
    </row>
    <row r="116" spans="1:19" x14ac:dyDescent="0.25">
      <c r="A116" s="37"/>
      <c r="B116" s="37"/>
      <c r="C116" s="37"/>
      <c r="D116" s="37"/>
      <c r="E116" s="37"/>
      <c r="F116" s="40"/>
      <c r="G116" s="40"/>
      <c r="H116" s="40"/>
      <c r="I116" s="40"/>
      <c r="J116" s="40"/>
      <c r="K116" s="40"/>
      <c r="L116" s="40"/>
      <c r="M116" s="40"/>
      <c r="N116" s="40"/>
      <c r="O116" s="40"/>
      <c r="P116" s="40"/>
      <c r="Q116" s="40"/>
      <c r="R116" s="38"/>
      <c r="S116" s="38"/>
    </row>
    <row r="117" spans="1:19" x14ac:dyDescent="0.25">
      <c r="A117" s="37"/>
      <c r="B117" s="37"/>
      <c r="C117" s="37"/>
      <c r="D117" s="37"/>
      <c r="E117" s="37"/>
      <c r="F117" s="40"/>
      <c r="G117" s="40"/>
      <c r="H117" s="40"/>
      <c r="I117" s="40"/>
      <c r="J117" s="40"/>
      <c r="K117" s="40"/>
      <c r="L117" s="40"/>
      <c r="M117" s="40"/>
      <c r="N117" s="40"/>
      <c r="O117" s="40"/>
      <c r="P117" s="40"/>
      <c r="Q117" s="40"/>
      <c r="R117" s="38"/>
      <c r="S117" s="38"/>
    </row>
    <row r="118" spans="1:19" x14ac:dyDescent="0.25">
      <c r="A118" s="37"/>
      <c r="B118" s="37"/>
      <c r="C118" s="37"/>
      <c r="D118" s="37"/>
      <c r="E118" s="37"/>
      <c r="F118" s="40"/>
      <c r="G118" s="40"/>
      <c r="H118" s="40"/>
      <c r="I118" s="40"/>
      <c r="J118" s="40"/>
      <c r="K118" s="40"/>
      <c r="L118" s="40"/>
      <c r="M118" s="40"/>
      <c r="N118" s="40"/>
      <c r="O118" s="40"/>
      <c r="P118" s="40"/>
      <c r="Q118" s="40"/>
      <c r="R118" s="38"/>
      <c r="S118" s="38"/>
    </row>
    <row r="119" spans="1:19" x14ac:dyDescent="0.25">
      <c r="A119" s="37"/>
      <c r="B119" s="37"/>
      <c r="C119" s="37"/>
      <c r="D119" s="37"/>
      <c r="E119" s="37"/>
      <c r="F119" s="40"/>
      <c r="G119" s="40"/>
      <c r="H119" s="40"/>
      <c r="I119" s="40"/>
      <c r="J119" s="40"/>
      <c r="K119" s="40"/>
      <c r="L119" s="40"/>
      <c r="M119" s="40"/>
      <c r="N119" s="40"/>
      <c r="O119" s="40"/>
      <c r="P119" s="40"/>
      <c r="Q119" s="40"/>
      <c r="R119" s="38"/>
      <c r="S119" s="38"/>
    </row>
    <row r="120" spans="1:19" x14ac:dyDescent="0.25">
      <c r="A120" s="37"/>
      <c r="B120" s="37"/>
      <c r="C120" s="37"/>
      <c r="D120" s="37"/>
      <c r="E120" s="37"/>
      <c r="F120" s="40"/>
      <c r="G120" s="40"/>
      <c r="H120" s="40"/>
      <c r="I120" s="40"/>
      <c r="J120" s="40"/>
      <c r="K120" s="40"/>
      <c r="L120" s="40"/>
      <c r="M120" s="40"/>
      <c r="N120" s="40"/>
      <c r="O120" s="40"/>
      <c r="P120" s="40"/>
      <c r="Q120" s="40"/>
      <c r="R120" s="38"/>
      <c r="S120" s="38"/>
    </row>
    <row r="121" spans="1:19" x14ac:dyDescent="0.25">
      <c r="A121" s="37"/>
      <c r="B121" s="37"/>
      <c r="C121" s="37"/>
      <c r="D121" s="37"/>
      <c r="E121" s="37"/>
      <c r="F121" s="40"/>
      <c r="G121" s="40"/>
      <c r="H121" s="40"/>
      <c r="I121" s="40"/>
      <c r="J121" s="40"/>
      <c r="K121" s="40"/>
      <c r="L121" s="40"/>
      <c r="M121" s="40"/>
      <c r="N121" s="40"/>
      <c r="O121" s="40"/>
      <c r="P121" s="40"/>
      <c r="Q121" s="40"/>
      <c r="R121" s="38"/>
      <c r="S121" s="38"/>
    </row>
    <row r="122" spans="1:19" x14ac:dyDescent="0.25">
      <c r="A122" s="37"/>
      <c r="B122" s="37"/>
      <c r="C122" s="37"/>
      <c r="D122" s="37"/>
      <c r="E122" s="37"/>
      <c r="F122" s="40"/>
      <c r="G122" s="40"/>
      <c r="H122" s="40"/>
      <c r="I122" s="40"/>
      <c r="J122" s="40"/>
      <c r="K122" s="40"/>
      <c r="L122" s="40"/>
      <c r="M122" s="40"/>
      <c r="N122" s="40"/>
      <c r="O122" s="40"/>
      <c r="P122" s="40"/>
      <c r="Q122" s="40"/>
      <c r="R122" s="38"/>
      <c r="S122" s="38"/>
    </row>
    <row r="123" spans="1:19" x14ac:dyDescent="0.25">
      <c r="A123" s="37"/>
      <c r="B123" s="37"/>
      <c r="C123" s="37"/>
      <c r="D123" s="37"/>
      <c r="E123" s="37"/>
      <c r="F123" s="40"/>
      <c r="G123" s="40"/>
      <c r="H123" s="40"/>
      <c r="I123" s="40"/>
      <c r="J123" s="40"/>
      <c r="K123" s="40"/>
      <c r="L123" s="40"/>
      <c r="M123" s="40"/>
      <c r="N123" s="40"/>
      <c r="O123" s="40"/>
      <c r="P123" s="40"/>
      <c r="Q123" s="40"/>
      <c r="R123" s="38"/>
      <c r="S123" s="38"/>
    </row>
    <row r="124" spans="1:19" x14ac:dyDescent="0.25">
      <c r="A124" s="37"/>
      <c r="B124" s="37"/>
      <c r="C124" s="37"/>
      <c r="D124" s="37"/>
      <c r="E124" s="37"/>
      <c r="F124" s="40"/>
      <c r="G124" s="40"/>
      <c r="H124" s="40"/>
      <c r="I124" s="40"/>
      <c r="J124" s="40"/>
      <c r="K124" s="40"/>
      <c r="L124" s="40"/>
      <c r="M124" s="40"/>
      <c r="N124" s="40"/>
      <c r="O124" s="40"/>
      <c r="P124" s="40"/>
      <c r="Q124" s="40"/>
      <c r="R124" s="38"/>
      <c r="S124" s="38"/>
    </row>
    <row r="125" spans="1:19" x14ac:dyDescent="0.25">
      <c r="A125" s="37"/>
      <c r="B125" s="37"/>
      <c r="C125" s="37"/>
      <c r="D125" s="37"/>
      <c r="E125" s="37"/>
      <c r="F125" s="40"/>
      <c r="G125" s="40"/>
      <c r="H125" s="40"/>
      <c r="I125" s="40"/>
      <c r="J125" s="40"/>
      <c r="K125" s="40"/>
      <c r="L125" s="40"/>
      <c r="M125" s="40"/>
      <c r="N125" s="40"/>
      <c r="O125" s="40"/>
      <c r="P125" s="40"/>
      <c r="Q125" s="40"/>
      <c r="R125" s="38"/>
      <c r="S125" s="38"/>
    </row>
    <row r="126" spans="1:19" x14ac:dyDescent="0.25">
      <c r="A126" s="37"/>
      <c r="B126" s="37"/>
      <c r="C126" s="37"/>
      <c r="D126" s="37"/>
      <c r="E126" s="37"/>
      <c r="F126" s="40"/>
      <c r="G126" s="40"/>
      <c r="H126" s="40"/>
      <c r="I126" s="40"/>
      <c r="J126" s="40"/>
      <c r="K126" s="40"/>
      <c r="L126" s="40"/>
      <c r="M126" s="40"/>
      <c r="N126" s="40"/>
      <c r="O126" s="40"/>
      <c r="P126" s="40"/>
      <c r="Q126" s="40"/>
      <c r="R126" s="38"/>
      <c r="S126" s="38"/>
    </row>
    <row r="127" spans="1:19" x14ac:dyDescent="0.25">
      <c r="A127" s="37"/>
      <c r="B127" s="37"/>
      <c r="C127" s="37"/>
      <c r="D127" s="37"/>
      <c r="E127" s="37"/>
      <c r="F127" s="40"/>
      <c r="G127" s="40"/>
      <c r="H127" s="40"/>
      <c r="I127" s="40"/>
      <c r="J127" s="40"/>
      <c r="K127" s="40"/>
      <c r="L127" s="40"/>
      <c r="M127" s="40"/>
      <c r="N127" s="40"/>
      <c r="O127" s="40"/>
      <c r="P127" s="40"/>
      <c r="Q127" s="40"/>
      <c r="R127" s="38"/>
      <c r="S127" s="38"/>
    </row>
    <row r="128" spans="1:19" x14ac:dyDescent="0.25">
      <c r="A128" s="37"/>
      <c r="B128" s="37"/>
      <c r="C128" s="37"/>
      <c r="D128" s="37"/>
      <c r="E128" s="37"/>
      <c r="F128" s="40"/>
      <c r="G128" s="40"/>
      <c r="H128" s="40"/>
      <c r="I128" s="40"/>
      <c r="J128" s="40"/>
      <c r="K128" s="40"/>
      <c r="L128" s="40"/>
      <c r="M128" s="40"/>
      <c r="N128" s="40"/>
      <c r="O128" s="40"/>
      <c r="P128" s="40"/>
      <c r="Q128" s="40"/>
      <c r="R128" s="38"/>
      <c r="S128" s="38"/>
    </row>
    <row r="129" spans="1:19" x14ac:dyDescent="0.25">
      <c r="A129" s="37"/>
      <c r="B129" s="37"/>
      <c r="C129" s="37"/>
      <c r="D129" s="37"/>
      <c r="E129" s="37"/>
      <c r="F129" s="40"/>
      <c r="G129" s="40"/>
      <c r="H129" s="40"/>
      <c r="I129" s="40"/>
      <c r="J129" s="40"/>
      <c r="K129" s="40"/>
      <c r="L129" s="40"/>
      <c r="M129" s="40"/>
      <c r="N129" s="40"/>
      <c r="O129" s="40"/>
      <c r="P129" s="40"/>
      <c r="Q129" s="40"/>
      <c r="R129" s="38"/>
      <c r="S129" s="38"/>
    </row>
    <row r="130" spans="1:19" x14ac:dyDescent="0.25">
      <c r="A130" s="37"/>
      <c r="B130" s="37"/>
      <c r="C130" s="37"/>
      <c r="D130" s="37"/>
      <c r="E130" s="37"/>
      <c r="F130" s="40"/>
      <c r="G130" s="40"/>
      <c r="H130" s="40"/>
      <c r="I130" s="40"/>
      <c r="J130" s="40"/>
      <c r="K130" s="40"/>
      <c r="L130" s="40"/>
      <c r="M130" s="40"/>
      <c r="N130" s="40"/>
      <c r="O130" s="40"/>
      <c r="P130" s="40"/>
      <c r="Q130" s="40"/>
      <c r="R130" s="38"/>
      <c r="S130" s="38"/>
    </row>
    <row r="131" spans="1:19" x14ac:dyDescent="0.25">
      <c r="A131" s="37"/>
      <c r="B131" s="37"/>
      <c r="C131" s="37"/>
      <c r="D131" s="37"/>
      <c r="E131" s="37"/>
      <c r="F131" s="40"/>
      <c r="G131" s="40"/>
      <c r="H131" s="40"/>
      <c r="I131" s="40"/>
      <c r="J131" s="40"/>
      <c r="K131" s="40"/>
      <c r="L131" s="40"/>
      <c r="M131" s="40"/>
      <c r="N131" s="40"/>
      <c r="O131" s="40"/>
      <c r="P131" s="40"/>
      <c r="Q131" s="40"/>
      <c r="R131" s="38"/>
      <c r="S131" s="38"/>
    </row>
    <row r="132" spans="1:19" x14ac:dyDescent="0.25">
      <c r="A132" s="37"/>
      <c r="B132" s="37"/>
      <c r="C132" s="37"/>
      <c r="D132" s="37"/>
      <c r="E132" s="37"/>
      <c r="F132" s="40"/>
      <c r="G132" s="40"/>
      <c r="H132" s="40"/>
      <c r="I132" s="40"/>
      <c r="J132" s="40"/>
      <c r="K132" s="40"/>
      <c r="L132" s="40"/>
      <c r="M132" s="40"/>
      <c r="N132" s="40"/>
      <c r="O132" s="40"/>
      <c r="P132" s="40"/>
      <c r="Q132" s="40"/>
      <c r="R132" s="38"/>
      <c r="S132" s="38"/>
    </row>
    <row r="133" spans="1:19" x14ac:dyDescent="0.25">
      <c r="A133" s="37"/>
      <c r="B133" s="37"/>
      <c r="C133" s="37"/>
      <c r="D133" s="37"/>
      <c r="E133" s="37"/>
      <c r="F133" s="40"/>
      <c r="G133" s="40"/>
      <c r="H133" s="40"/>
      <c r="I133" s="40"/>
      <c r="J133" s="40"/>
      <c r="K133" s="40"/>
      <c r="L133" s="40"/>
      <c r="M133" s="40"/>
      <c r="N133" s="40"/>
      <c r="O133" s="40"/>
      <c r="P133" s="40"/>
      <c r="Q133" s="40"/>
      <c r="R133" s="38"/>
      <c r="S133" s="38"/>
    </row>
    <row r="134" spans="1:19" x14ac:dyDescent="0.25">
      <c r="A134" s="37"/>
      <c r="B134" s="37"/>
      <c r="C134" s="37"/>
      <c r="D134" s="37"/>
      <c r="E134" s="37"/>
      <c r="F134" s="40"/>
      <c r="G134" s="40"/>
      <c r="H134" s="40"/>
      <c r="I134" s="40"/>
      <c r="J134" s="40"/>
      <c r="K134" s="40"/>
      <c r="L134" s="40"/>
      <c r="M134" s="40"/>
      <c r="N134" s="40"/>
      <c r="O134" s="40"/>
      <c r="P134" s="40"/>
      <c r="Q134" s="40"/>
      <c r="R134" s="38"/>
      <c r="S134" s="38"/>
    </row>
    <row r="135" spans="1:19" x14ac:dyDescent="0.25">
      <c r="A135" s="37"/>
      <c r="B135" s="37"/>
      <c r="C135" s="37"/>
      <c r="D135" s="37"/>
      <c r="E135" s="37"/>
      <c r="F135" s="40"/>
      <c r="G135" s="40"/>
      <c r="H135" s="40"/>
      <c r="I135" s="40"/>
      <c r="J135" s="40"/>
      <c r="K135" s="40"/>
      <c r="L135" s="40"/>
      <c r="M135" s="40"/>
      <c r="N135" s="40"/>
      <c r="O135" s="40"/>
      <c r="P135" s="40"/>
      <c r="Q135" s="40"/>
      <c r="R135" s="38"/>
      <c r="S135" s="38"/>
    </row>
    <row r="136" spans="1:19" x14ac:dyDescent="0.25">
      <c r="A136" s="37"/>
      <c r="B136" s="37"/>
      <c r="C136" s="37"/>
      <c r="D136" s="37"/>
      <c r="E136" s="37"/>
      <c r="F136" s="40"/>
      <c r="G136" s="40"/>
      <c r="H136" s="40"/>
      <c r="I136" s="40"/>
      <c r="J136" s="40"/>
      <c r="K136" s="40"/>
      <c r="L136" s="40"/>
      <c r="M136" s="40"/>
      <c r="N136" s="40"/>
      <c r="O136" s="40"/>
      <c r="P136" s="40"/>
      <c r="Q136" s="40"/>
      <c r="R136" s="38"/>
      <c r="S136" s="38"/>
    </row>
    <row r="137" spans="1:19" x14ac:dyDescent="0.25">
      <c r="A137" s="37"/>
      <c r="B137" s="37"/>
      <c r="C137" s="37"/>
      <c r="D137" s="37"/>
      <c r="E137" s="37"/>
      <c r="F137" s="40"/>
      <c r="G137" s="40"/>
      <c r="H137" s="40"/>
      <c r="I137" s="40"/>
      <c r="J137" s="40"/>
      <c r="K137" s="40"/>
      <c r="L137" s="40"/>
      <c r="M137" s="40"/>
      <c r="N137" s="40"/>
      <c r="O137" s="40"/>
      <c r="P137" s="40"/>
      <c r="Q137" s="40"/>
      <c r="R137" s="38"/>
      <c r="S137" s="38"/>
    </row>
    <row r="138" spans="1:19" x14ac:dyDescent="0.25">
      <c r="A138" s="37"/>
      <c r="B138" s="37"/>
      <c r="C138" s="37"/>
      <c r="D138" s="37"/>
      <c r="E138" s="37"/>
      <c r="F138" s="40"/>
      <c r="G138" s="40"/>
      <c r="H138" s="40"/>
      <c r="I138" s="40"/>
      <c r="J138" s="40"/>
      <c r="K138" s="40"/>
      <c r="L138" s="40"/>
      <c r="M138" s="40"/>
      <c r="N138" s="40"/>
      <c r="O138" s="40"/>
      <c r="P138" s="40"/>
      <c r="Q138" s="40"/>
      <c r="R138" s="38"/>
      <c r="S138" s="38"/>
    </row>
    <row r="139" spans="1:19" x14ac:dyDescent="0.25">
      <c r="A139" s="37"/>
      <c r="B139" s="37"/>
      <c r="C139" s="37"/>
      <c r="D139" s="37"/>
      <c r="E139" s="37"/>
      <c r="F139" s="40"/>
      <c r="G139" s="40"/>
      <c r="H139" s="40"/>
      <c r="I139" s="40"/>
      <c r="J139" s="40"/>
      <c r="K139" s="40"/>
      <c r="L139" s="40"/>
      <c r="M139" s="40"/>
      <c r="N139" s="40"/>
      <c r="O139" s="40"/>
      <c r="P139" s="40"/>
      <c r="Q139" s="40"/>
      <c r="R139" s="38"/>
      <c r="S139" s="38"/>
    </row>
    <row r="140" spans="1:19" x14ac:dyDescent="0.25">
      <c r="A140" s="37"/>
      <c r="B140" s="37"/>
      <c r="C140" s="37"/>
      <c r="D140" s="37"/>
      <c r="E140" s="37"/>
      <c r="F140" s="40"/>
      <c r="G140" s="40"/>
      <c r="H140" s="40"/>
      <c r="I140" s="40"/>
      <c r="J140" s="40"/>
      <c r="K140" s="40"/>
      <c r="L140" s="40"/>
      <c r="M140" s="40"/>
      <c r="N140" s="40"/>
      <c r="O140" s="40"/>
      <c r="P140" s="40"/>
      <c r="Q140" s="40"/>
      <c r="R140" s="38"/>
      <c r="S140" s="38"/>
    </row>
    <row r="141" spans="1:19" x14ac:dyDescent="0.25">
      <c r="A141" s="37"/>
      <c r="B141" s="37"/>
      <c r="C141" s="37"/>
      <c r="D141" s="37"/>
      <c r="E141" s="37"/>
      <c r="F141" s="40"/>
      <c r="G141" s="40"/>
      <c r="H141" s="40"/>
      <c r="I141" s="40"/>
      <c r="J141" s="40"/>
      <c r="K141" s="40"/>
      <c r="L141" s="40"/>
      <c r="M141" s="40"/>
      <c r="N141" s="40"/>
      <c r="O141" s="40"/>
      <c r="P141" s="40"/>
      <c r="Q141" s="40"/>
      <c r="R141" s="38"/>
      <c r="S141" s="38"/>
    </row>
    <row r="142" spans="1:19" x14ac:dyDescent="0.25">
      <c r="A142" s="37"/>
      <c r="B142" s="37"/>
      <c r="C142" s="37"/>
      <c r="D142" s="37"/>
      <c r="E142" s="37"/>
      <c r="F142" s="40"/>
      <c r="G142" s="40"/>
      <c r="H142" s="40"/>
      <c r="I142" s="40"/>
      <c r="J142" s="40"/>
      <c r="K142" s="40"/>
      <c r="L142" s="40"/>
      <c r="M142" s="40"/>
      <c r="N142" s="40"/>
      <c r="O142" s="40"/>
      <c r="P142" s="40"/>
      <c r="Q142" s="40"/>
      <c r="R142" s="38"/>
      <c r="S142" s="38"/>
    </row>
    <row r="143" spans="1:19" x14ac:dyDescent="0.25">
      <c r="A143" s="37"/>
      <c r="B143" s="37"/>
      <c r="C143" s="37"/>
      <c r="D143" s="37"/>
      <c r="E143" s="37"/>
      <c r="F143" s="40"/>
      <c r="G143" s="40"/>
      <c r="H143" s="40"/>
      <c r="I143" s="40"/>
      <c r="J143" s="40"/>
      <c r="K143" s="40"/>
      <c r="L143" s="40"/>
      <c r="M143" s="40"/>
      <c r="N143" s="40"/>
      <c r="O143" s="40"/>
      <c r="P143" s="40"/>
      <c r="Q143" s="40"/>
      <c r="R143" s="38"/>
      <c r="S143" s="38"/>
    </row>
    <row r="144" spans="1:19" x14ac:dyDescent="0.25">
      <c r="A144" s="37"/>
      <c r="B144" s="37"/>
      <c r="C144" s="37"/>
      <c r="D144" s="37"/>
      <c r="E144" s="37"/>
      <c r="F144" s="40"/>
      <c r="G144" s="40"/>
      <c r="H144" s="40"/>
      <c r="I144" s="40"/>
      <c r="J144" s="40"/>
      <c r="K144" s="40"/>
      <c r="L144" s="40"/>
      <c r="M144" s="40"/>
      <c r="N144" s="40"/>
      <c r="O144" s="40"/>
      <c r="P144" s="40"/>
      <c r="Q144" s="40"/>
      <c r="R144" s="38"/>
      <c r="S144" s="38"/>
    </row>
    <row r="145" spans="1:19" x14ac:dyDescent="0.25">
      <c r="A145" s="37"/>
      <c r="B145" s="37"/>
      <c r="C145" s="37"/>
      <c r="D145" s="37"/>
      <c r="E145" s="37"/>
      <c r="F145" s="40"/>
      <c r="G145" s="40"/>
      <c r="H145" s="40"/>
      <c r="I145" s="40"/>
      <c r="J145" s="40"/>
      <c r="K145" s="40"/>
      <c r="L145" s="40"/>
      <c r="M145" s="40"/>
      <c r="N145" s="40"/>
      <c r="O145" s="40"/>
      <c r="P145" s="40"/>
      <c r="Q145" s="40"/>
      <c r="R145" s="38"/>
      <c r="S145" s="38"/>
    </row>
    <row r="146" spans="1:19" x14ac:dyDescent="0.25">
      <c r="A146" s="37"/>
      <c r="B146" s="37"/>
      <c r="C146" s="37"/>
      <c r="D146" s="37"/>
      <c r="E146" s="37"/>
      <c r="F146" s="40"/>
      <c r="G146" s="40"/>
      <c r="H146" s="40"/>
      <c r="I146" s="40"/>
      <c r="J146" s="40"/>
      <c r="K146" s="40"/>
      <c r="L146" s="40"/>
      <c r="M146" s="40"/>
      <c r="N146" s="40"/>
      <c r="O146" s="40"/>
      <c r="P146" s="40"/>
      <c r="Q146" s="40"/>
      <c r="R146" s="38"/>
      <c r="S146" s="38"/>
    </row>
    <row r="147" spans="1:19" x14ac:dyDescent="0.25">
      <c r="A147" s="37"/>
      <c r="B147" s="37"/>
      <c r="C147" s="37"/>
      <c r="D147" s="37"/>
      <c r="E147" s="37"/>
      <c r="F147" s="40"/>
      <c r="G147" s="40"/>
      <c r="H147" s="40"/>
      <c r="I147" s="40"/>
      <c r="J147" s="40"/>
      <c r="K147" s="40"/>
      <c r="L147" s="40"/>
      <c r="M147" s="40"/>
      <c r="N147" s="40"/>
      <c r="O147" s="40"/>
      <c r="P147" s="40"/>
      <c r="Q147" s="40"/>
      <c r="R147" s="38"/>
      <c r="S147" s="38"/>
    </row>
    <row r="148" spans="1:19" x14ac:dyDescent="0.25">
      <c r="A148" s="37"/>
      <c r="B148" s="37"/>
      <c r="C148" s="37"/>
      <c r="D148" s="37"/>
      <c r="E148" s="37"/>
      <c r="F148" s="40"/>
      <c r="G148" s="40"/>
      <c r="H148" s="40"/>
      <c r="I148" s="40"/>
      <c r="J148" s="40"/>
      <c r="K148" s="40"/>
      <c r="L148" s="40"/>
      <c r="M148" s="40"/>
      <c r="N148" s="40"/>
      <c r="O148" s="40"/>
      <c r="P148" s="40"/>
      <c r="Q148" s="40"/>
      <c r="R148" s="38"/>
      <c r="S148" s="38"/>
    </row>
    <row r="149" spans="1:19" x14ac:dyDescent="0.25">
      <c r="A149" s="37"/>
      <c r="B149" s="37"/>
      <c r="C149" s="37"/>
      <c r="D149" s="37"/>
      <c r="E149" s="37"/>
      <c r="F149" s="40"/>
      <c r="G149" s="40"/>
      <c r="H149" s="40"/>
      <c r="I149" s="40"/>
      <c r="J149" s="40"/>
      <c r="K149" s="40"/>
      <c r="L149" s="40"/>
      <c r="M149" s="40"/>
      <c r="N149" s="40"/>
      <c r="O149" s="40"/>
      <c r="P149" s="40"/>
      <c r="Q149" s="40"/>
      <c r="R149" s="38"/>
      <c r="S149" s="38"/>
    </row>
    <row r="150" spans="1:19" x14ac:dyDescent="0.25">
      <c r="A150" s="37"/>
      <c r="B150" s="37"/>
      <c r="C150" s="37"/>
      <c r="D150" s="37"/>
      <c r="E150" s="37"/>
      <c r="F150" s="40"/>
      <c r="G150" s="40"/>
      <c r="H150" s="40"/>
      <c r="I150" s="40"/>
      <c r="J150" s="40"/>
      <c r="K150" s="40"/>
      <c r="L150" s="40"/>
      <c r="M150" s="40"/>
      <c r="N150" s="40"/>
      <c r="O150" s="40"/>
      <c r="P150" s="40"/>
      <c r="Q150" s="40"/>
      <c r="R150" s="38"/>
      <c r="S150" s="38"/>
    </row>
    <row r="151" spans="1:19" x14ac:dyDescent="0.25">
      <c r="A151" s="37"/>
      <c r="B151" s="37"/>
      <c r="C151" s="37"/>
      <c r="D151" s="37"/>
      <c r="E151" s="37"/>
      <c r="F151" s="40"/>
      <c r="G151" s="40"/>
      <c r="H151" s="40"/>
      <c r="I151" s="40"/>
      <c r="J151" s="40"/>
      <c r="K151" s="40"/>
      <c r="L151" s="40"/>
      <c r="M151" s="40"/>
      <c r="N151" s="40"/>
      <c r="O151" s="40"/>
      <c r="P151" s="40"/>
      <c r="Q151" s="40"/>
      <c r="R151" s="38"/>
      <c r="S151" s="38"/>
    </row>
    <row r="152" spans="1:19" x14ac:dyDescent="0.25">
      <c r="A152" s="37"/>
      <c r="B152" s="37"/>
      <c r="C152" s="37"/>
      <c r="D152" s="37"/>
      <c r="E152" s="37"/>
      <c r="F152" s="40"/>
      <c r="G152" s="40"/>
      <c r="H152" s="40"/>
      <c r="I152" s="40"/>
      <c r="J152" s="40"/>
      <c r="K152" s="40"/>
      <c r="L152" s="40"/>
      <c r="M152" s="40"/>
      <c r="N152" s="40"/>
      <c r="O152" s="40"/>
      <c r="P152" s="40"/>
      <c r="Q152" s="40"/>
      <c r="R152" s="38"/>
      <c r="S152" s="38"/>
    </row>
    <row r="153" spans="1:19" x14ac:dyDescent="0.25">
      <c r="A153" s="37"/>
      <c r="B153" s="37"/>
      <c r="C153" s="37"/>
      <c r="D153" s="37"/>
      <c r="E153" s="37"/>
      <c r="F153" s="40"/>
      <c r="G153" s="40"/>
      <c r="H153" s="40"/>
      <c r="I153" s="40"/>
      <c r="J153" s="40"/>
      <c r="K153" s="40"/>
      <c r="L153" s="40"/>
      <c r="M153" s="40"/>
      <c r="N153" s="40"/>
      <c r="O153" s="40"/>
      <c r="P153" s="40"/>
      <c r="Q153" s="40"/>
      <c r="R153" s="38"/>
      <c r="S153" s="38"/>
    </row>
    <row r="154" spans="1:19" x14ac:dyDescent="0.25">
      <c r="A154" s="37"/>
      <c r="B154" s="37"/>
      <c r="C154" s="37"/>
      <c r="D154" s="37"/>
      <c r="E154" s="37"/>
      <c r="F154" s="40"/>
      <c r="G154" s="40"/>
      <c r="H154" s="40"/>
      <c r="I154" s="40"/>
      <c r="J154" s="40"/>
      <c r="K154" s="40"/>
      <c r="L154" s="40"/>
      <c r="M154" s="40"/>
      <c r="N154" s="40"/>
      <c r="O154" s="40"/>
      <c r="P154" s="40"/>
      <c r="Q154" s="40"/>
      <c r="R154" s="38"/>
      <c r="S154" s="38"/>
    </row>
    <row r="155" spans="1:19" x14ac:dyDescent="0.25">
      <c r="A155" s="37"/>
      <c r="B155" s="37"/>
      <c r="C155" s="37"/>
      <c r="D155" s="37"/>
      <c r="E155" s="37"/>
      <c r="F155" s="40"/>
      <c r="G155" s="40"/>
      <c r="H155" s="40"/>
      <c r="I155" s="40"/>
      <c r="J155" s="40"/>
      <c r="K155" s="40"/>
      <c r="L155" s="40"/>
      <c r="M155" s="40"/>
      <c r="N155" s="40"/>
      <c r="O155" s="40"/>
      <c r="P155" s="40"/>
      <c r="Q155" s="40"/>
      <c r="R155" s="38"/>
      <c r="S155" s="38"/>
    </row>
    <row r="156" spans="1:19" x14ac:dyDescent="0.25">
      <c r="A156" s="37"/>
      <c r="B156" s="37"/>
      <c r="C156" s="37"/>
      <c r="D156" s="37"/>
      <c r="E156" s="37"/>
      <c r="F156" s="40"/>
      <c r="G156" s="40"/>
      <c r="H156" s="40"/>
      <c r="I156" s="40"/>
      <c r="J156" s="40"/>
      <c r="K156" s="40"/>
      <c r="L156" s="40"/>
      <c r="M156" s="40"/>
      <c r="N156" s="40"/>
      <c r="O156" s="40"/>
      <c r="P156" s="40"/>
      <c r="Q156" s="40"/>
      <c r="R156" s="38"/>
      <c r="S156" s="38"/>
    </row>
    <row r="157" spans="1:19" x14ac:dyDescent="0.25">
      <c r="A157" s="37"/>
      <c r="B157" s="37"/>
      <c r="C157" s="37"/>
      <c r="D157" s="37"/>
      <c r="E157" s="37"/>
      <c r="F157" s="40"/>
      <c r="G157" s="40"/>
      <c r="H157" s="40"/>
      <c r="I157" s="40"/>
      <c r="J157" s="40"/>
      <c r="K157" s="40"/>
      <c r="L157" s="40"/>
      <c r="M157" s="40"/>
      <c r="N157" s="40"/>
      <c r="O157" s="40"/>
      <c r="P157" s="40"/>
      <c r="Q157" s="40"/>
      <c r="R157" s="38"/>
      <c r="S157" s="38"/>
    </row>
    <row r="158" spans="1:19" x14ac:dyDescent="0.25">
      <c r="A158" s="37"/>
      <c r="B158" s="37"/>
      <c r="C158" s="37"/>
      <c r="D158" s="37"/>
      <c r="E158" s="37"/>
      <c r="F158" s="40"/>
      <c r="G158" s="40"/>
      <c r="H158" s="40"/>
      <c r="I158" s="40"/>
      <c r="J158" s="40"/>
      <c r="K158" s="40"/>
      <c r="L158" s="40"/>
      <c r="M158" s="40"/>
      <c r="N158" s="40"/>
      <c r="O158" s="40"/>
      <c r="P158" s="40"/>
      <c r="Q158" s="40"/>
      <c r="R158" s="38"/>
      <c r="S158" s="38"/>
    </row>
    <row r="159" spans="1:19" x14ac:dyDescent="0.25">
      <c r="A159" s="37"/>
      <c r="B159" s="37"/>
      <c r="C159" s="37"/>
      <c r="D159" s="37"/>
      <c r="E159" s="37"/>
      <c r="F159" s="40"/>
      <c r="G159" s="40"/>
      <c r="H159" s="40"/>
      <c r="I159" s="40"/>
      <c r="J159" s="40"/>
      <c r="K159" s="40"/>
      <c r="L159" s="40"/>
      <c r="M159" s="40"/>
      <c r="N159" s="40"/>
      <c r="O159" s="40"/>
      <c r="P159" s="40"/>
      <c r="Q159" s="40"/>
      <c r="R159" s="38"/>
      <c r="S159" s="38"/>
    </row>
    <row r="160" spans="1:19" x14ac:dyDescent="0.25">
      <c r="A160" s="37"/>
      <c r="B160" s="37"/>
      <c r="C160" s="37"/>
      <c r="D160" s="37"/>
      <c r="E160" s="37"/>
      <c r="F160" s="40"/>
      <c r="G160" s="40"/>
      <c r="H160" s="40"/>
      <c r="I160" s="40"/>
      <c r="J160" s="40"/>
      <c r="K160" s="40"/>
      <c r="L160" s="40"/>
      <c r="M160" s="40"/>
      <c r="N160" s="40"/>
      <c r="O160" s="40"/>
      <c r="P160" s="40"/>
      <c r="Q160" s="40"/>
      <c r="R160" s="38"/>
      <c r="S160" s="38"/>
    </row>
    <row r="161" spans="1:19" x14ac:dyDescent="0.25">
      <c r="A161" s="37"/>
      <c r="B161" s="37"/>
      <c r="C161" s="37"/>
      <c r="D161" s="37"/>
      <c r="E161" s="37"/>
      <c r="F161" s="40"/>
      <c r="G161" s="40"/>
      <c r="H161" s="40"/>
      <c r="I161" s="40"/>
      <c r="J161" s="40"/>
      <c r="K161" s="40"/>
      <c r="L161" s="40"/>
      <c r="M161" s="40"/>
      <c r="N161" s="40"/>
      <c r="O161" s="40"/>
      <c r="P161" s="40"/>
      <c r="Q161" s="40"/>
      <c r="R161" s="38"/>
      <c r="S161" s="38"/>
    </row>
    <row r="162" spans="1:19" x14ac:dyDescent="0.25">
      <c r="A162" s="37"/>
      <c r="B162" s="37"/>
      <c r="C162" s="37"/>
      <c r="D162" s="37"/>
      <c r="E162" s="37"/>
      <c r="F162" s="40"/>
      <c r="G162" s="40"/>
      <c r="H162" s="40"/>
      <c r="I162" s="40"/>
      <c r="J162" s="40"/>
      <c r="K162" s="40"/>
      <c r="L162" s="40"/>
      <c r="M162" s="40"/>
      <c r="N162" s="40"/>
      <c r="O162" s="40"/>
      <c r="P162" s="40"/>
      <c r="Q162" s="40"/>
      <c r="R162" s="38"/>
      <c r="S162" s="38"/>
    </row>
    <row r="163" spans="1:19" x14ac:dyDescent="0.25">
      <c r="A163" s="37"/>
      <c r="B163" s="37"/>
      <c r="C163" s="37"/>
      <c r="D163" s="37"/>
      <c r="E163" s="37"/>
      <c r="F163" s="40"/>
      <c r="G163" s="40"/>
      <c r="H163" s="40"/>
      <c r="I163" s="40"/>
      <c r="J163" s="40"/>
      <c r="K163" s="40"/>
      <c r="L163" s="40"/>
      <c r="M163" s="40"/>
      <c r="N163" s="40"/>
      <c r="O163" s="40"/>
      <c r="P163" s="40"/>
      <c r="Q163" s="40"/>
      <c r="R163" s="38"/>
      <c r="S163" s="38"/>
    </row>
    <row r="164" spans="1:19" x14ac:dyDescent="0.25">
      <c r="A164" s="37"/>
      <c r="B164" s="37"/>
      <c r="C164" s="37"/>
      <c r="D164" s="37"/>
      <c r="E164" s="37"/>
      <c r="F164" s="40"/>
      <c r="G164" s="40"/>
      <c r="H164" s="40"/>
      <c r="I164" s="40"/>
      <c r="J164" s="40"/>
      <c r="K164" s="40"/>
      <c r="L164" s="40"/>
      <c r="M164" s="40"/>
      <c r="N164" s="40"/>
      <c r="O164" s="40"/>
      <c r="P164" s="40"/>
      <c r="Q164" s="40"/>
      <c r="R164" s="38"/>
      <c r="S164" s="38"/>
    </row>
    <row r="165" spans="1:19" x14ac:dyDescent="0.25">
      <c r="A165" s="37"/>
      <c r="B165" s="37"/>
      <c r="C165" s="37"/>
      <c r="D165" s="37"/>
      <c r="E165" s="37"/>
      <c r="F165" s="40"/>
      <c r="G165" s="40"/>
      <c r="H165" s="40"/>
      <c r="I165" s="40"/>
      <c r="J165" s="40"/>
      <c r="K165" s="40"/>
      <c r="L165" s="40"/>
      <c r="M165" s="40"/>
      <c r="N165" s="40"/>
      <c r="O165" s="40"/>
      <c r="P165" s="40"/>
      <c r="Q165" s="40"/>
      <c r="R165" s="38"/>
      <c r="S165" s="38"/>
    </row>
    <row r="166" spans="1:19" x14ac:dyDescent="0.25">
      <c r="A166" s="37"/>
      <c r="B166" s="37"/>
      <c r="C166" s="37"/>
      <c r="D166" s="37"/>
      <c r="E166" s="37"/>
      <c r="F166" s="40"/>
      <c r="G166" s="40"/>
      <c r="H166" s="40"/>
      <c r="I166" s="40"/>
      <c r="J166" s="40"/>
      <c r="K166" s="40"/>
      <c r="L166" s="40"/>
      <c r="M166" s="40"/>
      <c r="N166" s="40"/>
      <c r="O166" s="40"/>
      <c r="P166" s="40"/>
      <c r="Q166" s="40"/>
      <c r="R166" s="38"/>
      <c r="S166" s="38"/>
    </row>
    <row r="167" spans="1:19" x14ac:dyDescent="0.25">
      <c r="A167" s="37"/>
      <c r="B167" s="37"/>
      <c r="C167" s="37"/>
      <c r="D167" s="37"/>
      <c r="E167" s="37"/>
      <c r="F167" s="40"/>
      <c r="G167" s="40"/>
      <c r="H167" s="40"/>
      <c r="I167" s="40"/>
      <c r="J167" s="40"/>
      <c r="K167" s="40"/>
      <c r="L167" s="40"/>
      <c r="M167" s="40"/>
      <c r="N167" s="40"/>
      <c r="O167" s="40"/>
      <c r="P167" s="40"/>
      <c r="Q167" s="40"/>
      <c r="R167" s="38"/>
      <c r="S167" s="38"/>
    </row>
    <row r="168" spans="1:19" x14ac:dyDescent="0.25">
      <c r="A168" s="37"/>
      <c r="B168" s="37"/>
      <c r="C168" s="37"/>
      <c r="D168" s="37"/>
      <c r="E168" s="37"/>
      <c r="F168" s="40"/>
      <c r="G168" s="40"/>
      <c r="H168" s="40"/>
      <c r="I168" s="40"/>
      <c r="J168" s="40"/>
      <c r="K168" s="40"/>
      <c r="L168" s="40"/>
      <c r="M168" s="40"/>
      <c r="N168" s="40"/>
      <c r="O168" s="40"/>
      <c r="P168" s="40"/>
      <c r="Q168" s="40"/>
      <c r="R168" s="38"/>
      <c r="S168" s="38"/>
    </row>
    <row r="169" spans="1:19" x14ac:dyDescent="0.25">
      <c r="A169" s="37"/>
      <c r="B169" s="37"/>
      <c r="C169" s="37"/>
      <c r="D169" s="37"/>
      <c r="E169" s="37"/>
      <c r="F169" s="40"/>
      <c r="G169" s="40"/>
      <c r="H169" s="40"/>
      <c r="I169" s="40"/>
      <c r="J169" s="40"/>
      <c r="K169" s="40"/>
      <c r="L169" s="40"/>
      <c r="M169" s="40"/>
      <c r="N169" s="40"/>
      <c r="O169" s="40"/>
      <c r="P169" s="40"/>
      <c r="Q169" s="40"/>
      <c r="R169" s="38"/>
      <c r="S169" s="38"/>
    </row>
    <row r="170" spans="1:19" x14ac:dyDescent="0.25">
      <c r="A170" s="37"/>
      <c r="B170" s="37"/>
      <c r="C170" s="37"/>
      <c r="D170" s="37"/>
      <c r="E170" s="37"/>
      <c r="F170" s="40"/>
      <c r="G170" s="40"/>
      <c r="H170" s="40"/>
      <c r="I170" s="40"/>
      <c r="J170" s="40"/>
      <c r="K170" s="40"/>
      <c r="L170" s="40"/>
      <c r="M170" s="40"/>
      <c r="N170" s="40"/>
      <c r="O170" s="40"/>
      <c r="P170" s="40"/>
      <c r="Q170" s="40"/>
      <c r="R170" s="38"/>
      <c r="S170" s="38"/>
    </row>
    <row r="171" spans="1:19" x14ac:dyDescent="0.25">
      <c r="A171" s="37"/>
      <c r="B171" s="37"/>
      <c r="C171" s="37"/>
      <c r="D171" s="37"/>
      <c r="E171" s="37"/>
      <c r="F171" s="40"/>
      <c r="G171" s="40"/>
      <c r="H171" s="40"/>
      <c r="I171" s="40"/>
      <c r="J171" s="40"/>
      <c r="K171" s="40"/>
      <c r="L171" s="40"/>
      <c r="M171" s="40"/>
      <c r="N171" s="40"/>
      <c r="O171" s="40"/>
      <c r="P171" s="40"/>
      <c r="Q171" s="40"/>
      <c r="R171" s="38"/>
      <c r="S171" s="38"/>
    </row>
    <row r="172" spans="1:19" x14ac:dyDescent="0.25">
      <c r="A172" s="37"/>
      <c r="B172" s="37"/>
      <c r="C172" s="37"/>
      <c r="D172" s="37"/>
      <c r="E172" s="37"/>
      <c r="F172" s="40"/>
      <c r="G172" s="40"/>
      <c r="H172" s="40"/>
      <c r="I172" s="40"/>
      <c r="J172" s="40"/>
      <c r="K172" s="40"/>
      <c r="L172" s="40"/>
      <c r="M172" s="40"/>
      <c r="N172" s="40"/>
      <c r="O172" s="40"/>
      <c r="P172" s="40"/>
      <c r="Q172" s="40"/>
      <c r="R172" s="38"/>
      <c r="S172" s="38"/>
    </row>
    <row r="173" spans="1:19" x14ac:dyDescent="0.25">
      <c r="A173" s="37"/>
      <c r="B173" s="37"/>
      <c r="C173" s="37"/>
      <c r="D173" s="37"/>
      <c r="E173" s="37"/>
      <c r="F173" s="40"/>
      <c r="G173" s="40"/>
      <c r="H173" s="40"/>
      <c r="I173" s="40"/>
      <c r="J173" s="40"/>
      <c r="K173" s="40"/>
      <c r="L173" s="40"/>
      <c r="M173" s="40"/>
      <c r="N173" s="40"/>
      <c r="O173" s="40"/>
      <c r="P173" s="40"/>
      <c r="Q173" s="40"/>
      <c r="R173" s="38"/>
      <c r="S173" s="38"/>
    </row>
    <row r="174" spans="1:19" x14ac:dyDescent="0.25">
      <c r="A174" s="37"/>
      <c r="B174" s="37"/>
      <c r="C174" s="37"/>
      <c r="D174" s="37"/>
      <c r="E174" s="37"/>
      <c r="F174" s="40"/>
      <c r="G174" s="40"/>
      <c r="H174" s="40"/>
      <c r="I174" s="40"/>
      <c r="J174" s="40"/>
      <c r="K174" s="40"/>
      <c r="L174" s="40"/>
      <c r="M174" s="40"/>
      <c r="N174" s="40"/>
      <c r="O174" s="40"/>
      <c r="P174" s="40"/>
      <c r="Q174" s="40"/>
      <c r="R174" s="38"/>
      <c r="S174" s="38"/>
    </row>
    <row r="175" spans="1:19" x14ac:dyDescent="0.25">
      <c r="A175" s="37"/>
      <c r="B175" s="37"/>
      <c r="C175" s="37"/>
      <c r="D175" s="37"/>
      <c r="E175" s="37"/>
      <c r="F175" s="40"/>
      <c r="G175" s="40"/>
      <c r="H175" s="40"/>
      <c r="I175" s="40"/>
      <c r="J175" s="40"/>
      <c r="K175" s="40"/>
      <c r="L175" s="40"/>
      <c r="M175" s="40"/>
      <c r="N175" s="40"/>
      <c r="O175" s="40"/>
      <c r="P175" s="40"/>
      <c r="Q175" s="40"/>
      <c r="R175" s="38"/>
      <c r="S175" s="38"/>
    </row>
    <row r="176" spans="1:19" x14ac:dyDescent="0.25">
      <c r="A176" s="37"/>
      <c r="B176" s="37"/>
      <c r="C176" s="37"/>
      <c r="D176" s="37"/>
      <c r="E176" s="37"/>
      <c r="F176" s="40"/>
      <c r="G176" s="40"/>
      <c r="H176" s="40"/>
      <c r="I176" s="40"/>
      <c r="J176" s="40"/>
      <c r="K176" s="40"/>
      <c r="L176" s="40"/>
      <c r="M176" s="40"/>
      <c r="N176" s="40"/>
      <c r="O176" s="40"/>
      <c r="P176" s="40"/>
      <c r="Q176" s="40"/>
      <c r="R176" s="38"/>
      <c r="S176" s="38"/>
    </row>
    <row r="177" spans="1:19" x14ac:dyDescent="0.25">
      <c r="A177" s="37"/>
      <c r="B177" s="37"/>
      <c r="C177" s="37"/>
      <c r="D177" s="37"/>
      <c r="E177" s="37"/>
      <c r="F177" s="40"/>
      <c r="G177" s="40"/>
      <c r="H177" s="40"/>
      <c r="I177" s="40"/>
      <c r="J177" s="40"/>
      <c r="K177" s="40"/>
      <c r="L177" s="40"/>
      <c r="M177" s="40"/>
      <c r="N177" s="40"/>
      <c r="O177" s="40"/>
      <c r="P177" s="40"/>
      <c r="Q177" s="40"/>
      <c r="R177" s="38"/>
      <c r="S177" s="38"/>
    </row>
    <row r="178" spans="1:19" x14ac:dyDescent="0.25">
      <c r="A178" s="37"/>
      <c r="B178" s="37"/>
      <c r="C178" s="37"/>
      <c r="D178" s="37"/>
      <c r="E178" s="37"/>
      <c r="F178" s="40"/>
      <c r="G178" s="40"/>
      <c r="H178" s="40"/>
      <c r="I178" s="40"/>
      <c r="J178" s="40"/>
      <c r="K178" s="40"/>
      <c r="L178" s="40"/>
      <c r="M178" s="40"/>
      <c r="N178" s="40"/>
      <c r="O178" s="40"/>
      <c r="P178" s="40"/>
      <c r="Q178" s="40"/>
      <c r="R178" s="38"/>
      <c r="S178" s="38"/>
    </row>
    <row r="179" spans="1:19" x14ac:dyDescent="0.25">
      <c r="A179" s="37"/>
      <c r="B179" s="37"/>
      <c r="C179" s="37"/>
      <c r="D179" s="37"/>
      <c r="E179" s="37"/>
      <c r="F179" s="40"/>
      <c r="G179" s="40"/>
      <c r="H179" s="40"/>
      <c r="I179" s="40"/>
      <c r="J179" s="40"/>
      <c r="K179" s="40"/>
      <c r="L179" s="40"/>
      <c r="M179" s="40"/>
      <c r="N179" s="40"/>
      <c r="O179" s="40"/>
      <c r="P179" s="40"/>
      <c r="Q179" s="40"/>
      <c r="R179" s="38"/>
      <c r="S179" s="38"/>
    </row>
    <row r="180" spans="1:19" x14ac:dyDescent="0.25">
      <c r="A180" s="37"/>
      <c r="B180" s="37"/>
      <c r="C180" s="37"/>
      <c r="D180" s="37"/>
      <c r="E180" s="37"/>
      <c r="F180" s="40"/>
      <c r="G180" s="40"/>
      <c r="H180" s="40"/>
      <c r="I180" s="40"/>
      <c r="J180" s="40"/>
      <c r="K180" s="40"/>
      <c r="L180" s="40"/>
      <c r="M180" s="40"/>
      <c r="N180" s="40"/>
      <c r="O180" s="40"/>
      <c r="P180" s="40"/>
      <c r="Q180" s="40"/>
      <c r="R180" s="38"/>
      <c r="S180" s="38"/>
    </row>
    <row r="181" spans="1:19" x14ac:dyDescent="0.25">
      <c r="A181" s="37"/>
      <c r="B181" s="37"/>
      <c r="C181" s="37"/>
      <c r="D181" s="37"/>
      <c r="E181" s="37"/>
      <c r="F181" s="40"/>
      <c r="G181" s="40"/>
      <c r="H181" s="40"/>
      <c r="I181" s="40"/>
      <c r="J181" s="40"/>
      <c r="K181" s="40"/>
      <c r="L181" s="40"/>
      <c r="M181" s="40"/>
      <c r="N181" s="40"/>
      <c r="O181" s="40"/>
      <c r="P181" s="40"/>
      <c r="Q181" s="40"/>
      <c r="R181" s="38"/>
      <c r="S181" s="38"/>
    </row>
    <row r="182" spans="1:19" x14ac:dyDescent="0.25">
      <c r="A182" s="37"/>
      <c r="B182" s="37"/>
      <c r="C182" s="37"/>
      <c r="D182" s="37"/>
      <c r="E182" s="37"/>
      <c r="F182" s="40"/>
      <c r="G182" s="40"/>
      <c r="H182" s="40"/>
      <c r="I182" s="40"/>
      <c r="J182" s="40"/>
      <c r="K182" s="40"/>
      <c r="L182" s="40"/>
      <c r="M182" s="40"/>
      <c r="N182" s="40"/>
      <c r="O182" s="40"/>
      <c r="P182" s="40"/>
      <c r="Q182" s="40"/>
      <c r="R182" s="38"/>
      <c r="S182" s="38"/>
    </row>
    <row r="183" spans="1:19" x14ac:dyDescent="0.25">
      <c r="A183" s="37"/>
      <c r="B183" s="37"/>
      <c r="C183" s="37"/>
      <c r="D183" s="37"/>
      <c r="E183" s="37"/>
      <c r="F183" s="40"/>
      <c r="G183" s="40"/>
      <c r="H183" s="40"/>
      <c r="I183" s="40"/>
      <c r="J183" s="40"/>
      <c r="K183" s="40"/>
      <c r="L183" s="40"/>
      <c r="M183" s="40"/>
      <c r="N183" s="40"/>
      <c r="O183" s="40"/>
      <c r="P183" s="40"/>
      <c r="Q183" s="40"/>
      <c r="R183" s="38"/>
      <c r="S183" s="38"/>
    </row>
    <row r="184" spans="1:19" x14ac:dyDescent="0.25">
      <c r="A184" s="37"/>
      <c r="B184" s="37"/>
      <c r="C184" s="37"/>
      <c r="D184" s="37"/>
      <c r="E184" s="37"/>
      <c r="F184" s="40"/>
      <c r="G184" s="40"/>
      <c r="H184" s="40"/>
      <c r="I184" s="40"/>
      <c r="J184" s="40"/>
      <c r="K184" s="40"/>
      <c r="L184" s="40"/>
      <c r="M184" s="40"/>
      <c r="N184" s="40"/>
      <c r="O184" s="40"/>
      <c r="P184" s="40"/>
      <c r="Q184" s="40"/>
      <c r="R184" s="38"/>
      <c r="S184" s="38"/>
    </row>
    <row r="185" spans="1:19" x14ac:dyDescent="0.25">
      <c r="A185" s="37"/>
      <c r="B185" s="37"/>
      <c r="C185" s="37"/>
      <c r="D185" s="37"/>
      <c r="E185" s="37"/>
      <c r="F185" s="40"/>
      <c r="G185" s="40"/>
      <c r="H185" s="40"/>
      <c r="I185" s="40"/>
      <c r="J185" s="40"/>
      <c r="K185" s="40"/>
      <c r="L185" s="40"/>
      <c r="M185" s="40"/>
      <c r="N185" s="40"/>
      <c r="O185" s="40"/>
      <c r="P185" s="40"/>
      <c r="Q185" s="40"/>
      <c r="R185" s="38"/>
      <c r="S185" s="38"/>
    </row>
    <row r="186" spans="1:19" x14ac:dyDescent="0.25">
      <c r="A186" s="37"/>
      <c r="B186" s="37"/>
      <c r="C186" s="37"/>
      <c r="D186" s="37"/>
      <c r="E186" s="37"/>
      <c r="F186" s="40"/>
      <c r="G186" s="40"/>
      <c r="H186" s="40"/>
      <c r="I186" s="40"/>
      <c r="J186" s="40"/>
      <c r="K186" s="40"/>
      <c r="L186" s="40"/>
      <c r="M186" s="40"/>
      <c r="N186" s="40"/>
      <c r="O186" s="40"/>
      <c r="P186" s="40"/>
      <c r="Q186" s="40"/>
      <c r="R186" s="38"/>
      <c r="S186" s="38"/>
    </row>
    <row r="187" spans="1:19" x14ac:dyDescent="0.25">
      <c r="A187" s="37"/>
      <c r="B187" s="37"/>
      <c r="C187" s="37"/>
      <c r="D187" s="37"/>
      <c r="E187" s="37"/>
      <c r="F187" s="40"/>
      <c r="G187" s="40"/>
      <c r="H187" s="40"/>
      <c r="I187" s="40"/>
      <c r="J187" s="40"/>
      <c r="K187" s="40"/>
      <c r="L187" s="40"/>
      <c r="M187" s="40"/>
      <c r="N187" s="40"/>
      <c r="O187" s="40"/>
      <c r="P187" s="40"/>
      <c r="Q187" s="40"/>
      <c r="R187" s="38"/>
      <c r="S187" s="38"/>
    </row>
    <row r="188" spans="1:19" x14ac:dyDescent="0.25">
      <c r="A188" s="37"/>
      <c r="B188" s="37"/>
      <c r="C188" s="37"/>
      <c r="D188" s="37"/>
      <c r="E188" s="37"/>
      <c r="F188" s="40"/>
      <c r="G188" s="40"/>
      <c r="H188" s="40"/>
      <c r="I188" s="40"/>
      <c r="J188" s="40"/>
      <c r="K188" s="40"/>
      <c r="L188" s="40"/>
      <c r="M188" s="40"/>
      <c r="N188" s="40"/>
      <c r="O188" s="40"/>
      <c r="P188" s="40"/>
      <c r="Q188" s="40"/>
      <c r="R188" s="38"/>
      <c r="S188" s="38"/>
    </row>
    <row r="189" spans="1:19" x14ac:dyDescent="0.25">
      <c r="A189" s="37"/>
      <c r="B189" s="37"/>
      <c r="C189" s="37"/>
      <c r="D189" s="37"/>
      <c r="E189" s="37"/>
      <c r="F189" s="40"/>
      <c r="G189" s="40"/>
      <c r="H189" s="40"/>
      <c r="I189" s="40"/>
      <c r="J189" s="40"/>
      <c r="K189" s="40"/>
      <c r="L189" s="40"/>
      <c r="M189" s="40"/>
      <c r="N189" s="40"/>
      <c r="O189" s="40"/>
      <c r="P189" s="40"/>
      <c r="Q189" s="40"/>
      <c r="R189" s="38"/>
      <c r="S189" s="38"/>
    </row>
    <row r="190" spans="1:19" x14ac:dyDescent="0.25">
      <c r="A190" s="37"/>
      <c r="B190" s="37"/>
      <c r="C190" s="37"/>
      <c r="D190" s="37"/>
      <c r="E190" s="37"/>
      <c r="F190" s="40"/>
      <c r="G190" s="40"/>
      <c r="H190" s="40"/>
      <c r="I190" s="40"/>
      <c r="J190" s="40"/>
      <c r="K190" s="40"/>
      <c r="L190" s="40"/>
      <c r="M190" s="40"/>
      <c r="N190" s="40"/>
      <c r="O190" s="40"/>
      <c r="P190" s="40"/>
      <c r="Q190" s="40"/>
      <c r="R190" s="38"/>
      <c r="S190" s="38"/>
    </row>
    <row r="191" spans="1:19" x14ac:dyDescent="0.25">
      <c r="A191" s="37"/>
      <c r="B191" s="37"/>
      <c r="C191" s="37"/>
      <c r="D191" s="37"/>
      <c r="E191" s="37"/>
      <c r="F191" s="40"/>
      <c r="G191" s="40"/>
      <c r="H191" s="40"/>
      <c r="I191" s="40"/>
      <c r="J191" s="40"/>
      <c r="K191" s="40"/>
      <c r="L191" s="40"/>
      <c r="M191" s="40"/>
      <c r="N191" s="40"/>
      <c r="O191" s="40"/>
      <c r="P191" s="40"/>
      <c r="Q191" s="40"/>
      <c r="R191" s="38"/>
      <c r="S191" s="38"/>
    </row>
    <row r="192" spans="1:19" x14ac:dyDescent="0.25">
      <c r="A192" s="37"/>
      <c r="B192" s="37"/>
      <c r="C192" s="37"/>
      <c r="D192" s="37"/>
      <c r="E192" s="37"/>
      <c r="F192" s="40"/>
      <c r="G192" s="40"/>
      <c r="H192" s="40"/>
      <c r="I192" s="40"/>
      <c r="J192" s="40"/>
      <c r="K192" s="40"/>
      <c r="L192" s="40"/>
      <c r="M192" s="40"/>
      <c r="N192" s="40"/>
      <c r="O192" s="40"/>
      <c r="P192" s="40"/>
      <c r="Q192" s="40"/>
      <c r="R192" s="38"/>
      <c r="S192" s="38"/>
    </row>
    <row r="193" spans="1:19" x14ac:dyDescent="0.25">
      <c r="A193" s="37"/>
      <c r="B193" s="37"/>
      <c r="C193" s="37"/>
      <c r="D193" s="37"/>
      <c r="E193" s="37"/>
      <c r="F193" s="40"/>
      <c r="G193" s="40"/>
      <c r="H193" s="40"/>
      <c r="I193" s="40"/>
      <c r="J193" s="40"/>
      <c r="K193" s="40"/>
      <c r="L193" s="40"/>
      <c r="M193" s="40"/>
      <c r="N193" s="40"/>
      <c r="O193" s="40"/>
      <c r="P193" s="40"/>
      <c r="Q193" s="40"/>
      <c r="R193" s="38"/>
      <c r="S193" s="38"/>
    </row>
    <row r="194" spans="1:19" x14ac:dyDescent="0.25">
      <c r="A194" s="37"/>
      <c r="B194" s="37"/>
      <c r="C194" s="37"/>
      <c r="D194" s="37"/>
      <c r="E194" s="37"/>
      <c r="F194" s="40"/>
      <c r="G194" s="40"/>
      <c r="H194" s="40"/>
      <c r="I194" s="40"/>
      <c r="J194" s="40"/>
      <c r="K194" s="40"/>
      <c r="L194" s="40"/>
      <c r="M194" s="40"/>
      <c r="N194" s="40"/>
      <c r="O194" s="40"/>
      <c r="P194" s="40"/>
      <c r="Q194" s="40"/>
      <c r="R194" s="38"/>
      <c r="S194" s="38"/>
    </row>
    <row r="195" spans="1:19" x14ac:dyDescent="0.25">
      <c r="A195" s="37"/>
      <c r="B195" s="37"/>
      <c r="C195" s="37"/>
      <c r="D195" s="37"/>
      <c r="E195" s="37"/>
      <c r="F195" s="40"/>
      <c r="G195" s="40"/>
      <c r="H195" s="40"/>
      <c r="I195" s="40"/>
      <c r="J195" s="40"/>
      <c r="K195" s="40"/>
      <c r="L195" s="40"/>
      <c r="M195" s="40"/>
      <c r="N195" s="40"/>
      <c r="O195" s="40"/>
      <c r="P195" s="40"/>
      <c r="Q195" s="40"/>
      <c r="R195" s="38"/>
      <c r="S195" s="38"/>
    </row>
    <row r="196" spans="1:19" x14ac:dyDescent="0.25">
      <c r="A196" s="38"/>
      <c r="B196" s="38"/>
      <c r="C196" s="38"/>
      <c r="D196" s="38"/>
      <c r="E196" s="38"/>
      <c r="F196" s="40"/>
      <c r="G196" s="40"/>
      <c r="H196" s="40"/>
      <c r="I196" s="40"/>
      <c r="J196" s="40"/>
      <c r="K196" s="40"/>
      <c r="L196" s="40"/>
      <c r="M196" s="40"/>
      <c r="N196" s="40"/>
      <c r="O196" s="40"/>
      <c r="P196" s="40"/>
      <c r="Q196" s="40"/>
      <c r="R196" s="38"/>
      <c r="S196" s="38"/>
    </row>
    <row r="197" spans="1:19" x14ac:dyDescent="0.25">
      <c r="A197" s="38"/>
      <c r="B197" s="38"/>
      <c r="C197" s="38"/>
      <c r="D197" s="38"/>
      <c r="E197" s="38"/>
      <c r="F197" s="40"/>
      <c r="G197" s="40"/>
      <c r="H197" s="40"/>
      <c r="I197" s="40"/>
      <c r="J197" s="40"/>
      <c r="K197" s="40"/>
      <c r="L197" s="40"/>
      <c r="M197" s="40"/>
      <c r="N197" s="40"/>
      <c r="O197" s="40"/>
      <c r="P197" s="40"/>
      <c r="Q197" s="40"/>
      <c r="R197" s="38"/>
      <c r="S197" s="38"/>
    </row>
    <row r="198" spans="1:19" x14ac:dyDescent="0.25">
      <c r="A198" s="38"/>
      <c r="B198" s="38"/>
      <c r="C198" s="38"/>
      <c r="D198" s="38"/>
      <c r="E198" s="38"/>
      <c r="F198" s="40"/>
      <c r="G198" s="40"/>
      <c r="H198" s="40"/>
      <c r="I198" s="40"/>
      <c r="J198" s="40"/>
      <c r="K198" s="40"/>
      <c r="L198" s="40"/>
      <c r="M198" s="40"/>
      <c r="N198" s="40"/>
      <c r="O198" s="40"/>
      <c r="P198" s="40"/>
      <c r="Q198" s="40"/>
      <c r="R198" s="38"/>
      <c r="S198" s="38"/>
    </row>
    <row r="199" spans="1:19" x14ac:dyDescent="0.25">
      <c r="A199" s="38"/>
      <c r="B199" s="38"/>
      <c r="C199" s="38"/>
      <c r="D199" s="38"/>
      <c r="E199" s="38"/>
      <c r="F199" s="40"/>
      <c r="G199" s="40"/>
      <c r="H199" s="40"/>
      <c r="I199" s="40"/>
      <c r="J199" s="40"/>
      <c r="K199" s="40"/>
      <c r="L199" s="40"/>
      <c r="M199" s="40"/>
      <c r="N199" s="40"/>
      <c r="O199" s="40"/>
      <c r="P199" s="40"/>
      <c r="Q199" s="40"/>
      <c r="R199" s="38"/>
      <c r="S199" s="38"/>
    </row>
    <row r="200" spans="1:19" x14ac:dyDescent="0.25">
      <c r="A200" s="38"/>
      <c r="B200" s="38"/>
      <c r="C200" s="38"/>
      <c r="D200" s="38"/>
      <c r="E200" s="38"/>
      <c r="F200" s="38"/>
      <c r="G200" s="38"/>
      <c r="H200" s="38"/>
      <c r="I200" s="38"/>
      <c r="J200" s="38"/>
      <c r="K200" s="38"/>
      <c r="L200" s="38"/>
      <c r="M200" s="38"/>
      <c r="N200" s="38"/>
      <c r="O200" s="38"/>
      <c r="P200" s="38"/>
      <c r="Q200" s="38"/>
      <c r="R200" s="38"/>
      <c r="S200" s="38"/>
    </row>
    <row r="201" spans="1:19" x14ac:dyDescent="0.25">
      <c r="A201" s="38"/>
      <c r="B201" s="38"/>
      <c r="C201" s="38"/>
      <c r="D201" s="38"/>
      <c r="E201" s="38"/>
      <c r="F201" s="38"/>
      <c r="G201" s="38"/>
      <c r="H201" s="38"/>
      <c r="I201" s="38"/>
      <c r="J201" s="38"/>
      <c r="K201" s="38"/>
      <c r="L201" s="38"/>
      <c r="M201" s="38"/>
      <c r="N201" s="38"/>
      <c r="O201" s="38"/>
      <c r="P201" s="38"/>
      <c r="Q201" s="38"/>
      <c r="R201" s="38"/>
      <c r="S201" s="38"/>
    </row>
    <row r="202" spans="1:19" x14ac:dyDescent="0.25">
      <c r="A202" s="38"/>
      <c r="B202" s="38"/>
      <c r="C202" s="38"/>
      <c r="D202" s="38"/>
      <c r="E202" s="38"/>
      <c r="F202" s="38"/>
      <c r="G202" s="38"/>
      <c r="H202" s="38"/>
      <c r="I202" s="38"/>
      <c r="J202" s="38"/>
      <c r="K202" s="38"/>
      <c r="L202" s="38"/>
      <c r="M202" s="38"/>
      <c r="N202" s="38"/>
      <c r="O202" s="38"/>
      <c r="P202" s="38"/>
      <c r="Q202" s="38"/>
      <c r="R202" s="38"/>
      <c r="S202" s="38"/>
    </row>
    <row r="203" spans="1:19" x14ac:dyDescent="0.25">
      <c r="A203" s="38"/>
      <c r="B203" s="38"/>
      <c r="C203" s="38"/>
      <c r="D203" s="38"/>
      <c r="E203" s="38"/>
      <c r="F203" s="38"/>
      <c r="G203" s="38"/>
      <c r="H203" s="38"/>
      <c r="I203" s="38"/>
      <c r="J203" s="38"/>
      <c r="K203" s="38"/>
      <c r="L203" s="38"/>
      <c r="M203" s="38"/>
      <c r="N203" s="38"/>
      <c r="O203" s="38"/>
      <c r="P203" s="38"/>
      <c r="Q203" s="38"/>
      <c r="R203" s="38"/>
      <c r="S203" s="38"/>
    </row>
    <row r="204" spans="1:19" x14ac:dyDescent="0.25">
      <c r="A204" s="38"/>
      <c r="B204" s="38"/>
      <c r="C204" s="38"/>
      <c r="D204" s="38"/>
      <c r="E204" s="38"/>
      <c r="F204" s="38"/>
      <c r="G204" s="38"/>
      <c r="H204" s="38"/>
      <c r="I204" s="38"/>
      <c r="J204" s="38"/>
      <c r="K204" s="38"/>
      <c r="L204" s="38"/>
      <c r="M204" s="38"/>
      <c r="N204" s="38"/>
      <c r="O204" s="38"/>
      <c r="P204" s="38"/>
      <c r="Q204" s="38"/>
      <c r="R204" s="38"/>
      <c r="S204" s="38"/>
    </row>
    <row r="205" spans="1:19" x14ac:dyDescent="0.25">
      <c r="A205" s="38"/>
      <c r="B205" s="38"/>
      <c r="C205" s="38"/>
      <c r="D205" s="38"/>
      <c r="E205" s="38"/>
      <c r="F205" s="38"/>
      <c r="G205" s="38"/>
      <c r="H205" s="38"/>
      <c r="I205" s="38"/>
      <c r="J205" s="38"/>
      <c r="K205" s="38"/>
      <c r="L205" s="38"/>
      <c r="M205" s="38"/>
      <c r="N205" s="38"/>
      <c r="O205" s="38"/>
      <c r="P205" s="38"/>
      <c r="Q205" s="38"/>
      <c r="R205" s="38"/>
      <c r="S205" s="38"/>
    </row>
    <row r="206" spans="1:19" x14ac:dyDescent="0.25">
      <c r="A206" s="38"/>
      <c r="B206" s="38"/>
      <c r="C206" s="38"/>
      <c r="D206" s="38"/>
      <c r="E206" s="38"/>
      <c r="F206" s="38"/>
      <c r="G206" s="38"/>
      <c r="H206" s="38"/>
      <c r="I206" s="38"/>
      <c r="J206" s="38"/>
      <c r="K206" s="38"/>
      <c r="L206" s="38"/>
      <c r="M206" s="38"/>
      <c r="N206" s="38"/>
      <c r="O206" s="38"/>
      <c r="P206" s="38"/>
      <c r="Q206" s="38"/>
      <c r="R206" s="38"/>
      <c r="S206" s="38"/>
    </row>
    <row r="207" spans="1:19" x14ac:dyDescent="0.25">
      <c r="A207" s="38"/>
      <c r="B207" s="38"/>
      <c r="C207" s="38"/>
      <c r="D207" s="38"/>
      <c r="E207" s="38"/>
      <c r="F207" s="38"/>
      <c r="G207" s="38"/>
      <c r="H207" s="38"/>
      <c r="I207" s="38"/>
      <c r="J207" s="38"/>
      <c r="K207" s="38"/>
      <c r="L207" s="38"/>
      <c r="M207" s="38"/>
      <c r="N207" s="38"/>
      <c r="O207" s="38"/>
      <c r="P207" s="38"/>
      <c r="Q207" s="38"/>
      <c r="R207" s="38"/>
      <c r="S207" s="38"/>
    </row>
    <row r="208" spans="1:19" x14ac:dyDescent="0.25">
      <c r="A208" s="38"/>
      <c r="B208" s="38"/>
      <c r="C208" s="38"/>
      <c r="D208" s="38"/>
      <c r="E208" s="38"/>
      <c r="F208" s="38"/>
      <c r="G208" s="38"/>
      <c r="H208" s="38"/>
      <c r="I208" s="38"/>
      <c r="J208" s="38"/>
      <c r="K208" s="38"/>
      <c r="L208" s="38"/>
      <c r="M208" s="38"/>
      <c r="N208" s="38"/>
      <c r="O208" s="38"/>
      <c r="P208" s="38"/>
      <c r="Q208" s="38"/>
      <c r="R208" s="38"/>
      <c r="S208" s="38"/>
    </row>
    <row r="209" spans="1:19" x14ac:dyDescent="0.25">
      <c r="A209" s="38"/>
      <c r="B209" s="38"/>
      <c r="C209" s="38"/>
      <c r="D209" s="38"/>
      <c r="E209" s="38"/>
      <c r="F209" s="38"/>
      <c r="G209" s="38"/>
      <c r="H209" s="38"/>
      <c r="I209" s="38"/>
      <c r="J209" s="38"/>
      <c r="K209" s="38"/>
      <c r="L209" s="38"/>
      <c r="M209" s="38"/>
      <c r="N209" s="38"/>
      <c r="O209" s="38"/>
      <c r="P209" s="38"/>
      <c r="Q209" s="38"/>
      <c r="R209" s="38"/>
      <c r="S209" s="38"/>
    </row>
    <row r="210" spans="1:19" x14ac:dyDescent="0.25">
      <c r="A210" s="38"/>
      <c r="B210" s="38"/>
      <c r="C210" s="38"/>
      <c r="D210" s="38"/>
      <c r="E210" s="38"/>
      <c r="F210" s="38"/>
      <c r="G210" s="38"/>
      <c r="H210" s="38"/>
      <c r="I210" s="38"/>
      <c r="J210" s="38"/>
      <c r="K210" s="38"/>
      <c r="L210" s="38"/>
      <c r="M210" s="38"/>
      <c r="N210" s="38"/>
      <c r="O210" s="38"/>
      <c r="P210" s="38"/>
      <c r="Q210" s="38"/>
      <c r="R210" s="38"/>
      <c r="S210" s="38"/>
    </row>
    <row r="211" spans="1:19" x14ac:dyDescent="0.25">
      <c r="A211" s="38"/>
      <c r="B211" s="38"/>
      <c r="C211" s="38"/>
      <c r="D211" s="38"/>
      <c r="E211" s="38"/>
      <c r="F211" s="38"/>
      <c r="G211" s="38"/>
      <c r="H211" s="38"/>
      <c r="I211" s="38"/>
      <c r="J211" s="38"/>
      <c r="K211" s="38"/>
      <c r="L211" s="38"/>
      <c r="M211" s="38"/>
      <c r="N211" s="38"/>
      <c r="O211" s="38"/>
      <c r="P211" s="38"/>
      <c r="Q211" s="38"/>
      <c r="R211" s="38"/>
      <c r="S211" s="38"/>
    </row>
    <row r="212" spans="1:19" x14ac:dyDescent="0.25">
      <c r="A212" s="38"/>
      <c r="B212" s="38"/>
      <c r="C212" s="38"/>
      <c r="D212" s="38"/>
      <c r="E212" s="38"/>
      <c r="F212" s="38"/>
      <c r="G212" s="38"/>
      <c r="H212" s="38"/>
      <c r="I212" s="38"/>
      <c r="J212" s="38"/>
      <c r="K212" s="38"/>
      <c r="L212" s="38"/>
      <c r="M212" s="38"/>
      <c r="N212" s="38"/>
      <c r="O212" s="38"/>
      <c r="P212" s="38"/>
      <c r="Q212" s="38"/>
      <c r="R212" s="38"/>
      <c r="S212" s="38"/>
    </row>
    <row r="213" spans="1:19" x14ac:dyDescent="0.25">
      <c r="A213" s="38"/>
      <c r="B213" s="38"/>
      <c r="C213" s="38"/>
      <c r="D213" s="38"/>
      <c r="E213" s="38"/>
      <c r="F213" s="38"/>
      <c r="G213" s="38"/>
      <c r="H213" s="38"/>
      <c r="I213" s="38"/>
      <c r="J213" s="38"/>
      <c r="K213" s="38"/>
      <c r="L213" s="38"/>
      <c r="M213" s="38"/>
      <c r="N213" s="38"/>
      <c r="O213" s="38"/>
      <c r="P213" s="38"/>
      <c r="Q213" s="38"/>
      <c r="R213" s="38"/>
      <c r="S213" s="38"/>
    </row>
    <row r="214" spans="1:19" x14ac:dyDescent="0.25">
      <c r="A214" s="38"/>
      <c r="B214" s="38"/>
      <c r="C214" s="38"/>
      <c r="D214" s="38"/>
      <c r="E214" s="38"/>
      <c r="F214" s="38"/>
      <c r="G214" s="38"/>
      <c r="H214" s="38"/>
      <c r="I214" s="38"/>
      <c r="J214" s="38"/>
      <c r="K214" s="38"/>
      <c r="L214" s="38"/>
      <c r="M214" s="38"/>
      <c r="N214" s="38"/>
      <c r="O214" s="38"/>
      <c r="P214" s="38"/>
      <c r="Q214" s="38"/>
      <c r="R214" s="38"/>
      <c r="S214" s="38"/>
    </row>
    <row r="215" spans="1:19" x14ac:dyDescent="0.25">
      <c r="A215" s="38"/>
      <c r="B215" s="38"/>
      <c r="C215" s="38"/>
      <c r="D215" s="38"/>
      <c r="E215" s="38"/>
      <c r="F215" s="38"/>
      <c r="G215" s="38"/>
      <c r="H215" s="38"/>
      <c r="I215" s="38"/>
      <c r="J215" s="38"/>
      <c r="K215" s="38"/>
      <c r="L215" s="38"/>
      <c r="M215" s="38"/>
      <c r="N215" s="38"/>
      <c r="O215" s="38"/>
      <c r="P215" s="38"/>
      <c r="Q215" s="38"/>
      <c r="R215" s="38"/>
      <c r="S215" s="38"/>
    </row>
    <row r="216" spans="1:19" x14ac:dyDescent="0.25">
      <c r="A216" s="38"/>
      <c r="B216" s="38"/>
      <c r="C216" s="38"/>
      <c r="D216" s="38"/>
      <c r="E216" s="38"/>
      <c r="F216" s="38"/>
      <c r="G216" s="38"/>
      <c r="H216" s="38"/>
      <c r="I216" s="38"/>
      <c r="J216" s="38"/>
      <c r="K216" s="38"/>
      <c r="L216" s="38"/>
      <c r="M216" s="38"/>
      <c r="N216" s="38"/>
      <c r="O216" s="38"/>
      <c r="P216" s="38"/>
      <c r="Q216" s="38"/>
      <c r="R216" s="38"/>
      <c r="S216" s="38"/>
    </row>
    <row r="217" spans="1:19" x14ac:dyDescent="0.25">
      <c r="A217" s="38"/>
      <c r="B217" s="38"/>
      <c r="C217" s="38"/>
      <c r="D217" s="38"/>
      <c r="E217" s="38"/>
      <c r="F217" s="38"/>
      <c r="G217" s="38"/>
      <c r="H217" s="38"/>
      <c r="I217" s="38"/>
      <c r="J217" s="38"/>
      <c r="K217" s="38"/>
      <c r="L217" s="38"/>
      <c r="M217" s="38"/>
      <c r="N217" s="38"/>
      <c r="O217" s="38"/>
      <c r="P217" s="38"/>
      <c r="Q217" s="38"/>
      <c r="R217" s="38"/>
      <c r="S217" s="38"/>
    </row>
    <row r="218" spans="1:19" x14ac:dyDescent="0.25">
      <c r="A218" s="38"/>
      <c r="B218" s="38"/>
      <c r="C218" s="38"/>
      <c r="D218" s="38"/>
      <c r="E218" s="38"/>
      <c r="F218" s="38"/>
      <c r="G218" s="38"/>
      <c r="H218" s="38"/>
      <c r="I218" s="38"/>
      <c r="J218" s="38"/>
      <c r="K218" s="38"/>
      <c r="L218" s="38"/>
      <c r="M218" s="38"/>
      <c r="N218" s="38"/>
      <c r="O218" s="38"/>
      <c r="P218" s="38"/>
      <c r="Q218" s="38"/>
      <c r="R218" s="38"/>
      <c r="S218" s="38"/>
    </row>
    <row r="219" spans="1:19" x14ac:dyDescent="0.25">
      <c r="A219" s="38"/>
      <c r="B219" s="38"/>
      <c r="C219" s="38"/>
      <c r="D219" s="38"/>
      <c r="E219" s="38"/>
      <c r="F219" s="38"/>
      <c r="G219" s="38"/>
      <c r="H219" s="38"/>
      <c r="I219" s="38"/>
      <c r="J219" s="38"/>
      <c r="K219" s="38"/>
      <c r="L219" s="38"/>
      <c r="M219" s="38"/>
      <c r="N219" s="38"/>
      <c r="O219" s="38"/>
      <c r="P219" s="38"/>
      <c r="Q219" s="38"/>
      <c r="R219" s="38"/>
      <c r="S219" s="38"/>
    </row>
    <row r="220" spans="1:19" x14ac:dyDescent="0.25">
      <c r="A220" s="38"/>
      <c r="B220" s="38"/>
      <c r="C220" s="38"/>
      <c r="D220" s="38"/>
      <c r="E220" s="38"/>
      <c r="F220" s="38"/>
      <c r="G220" s="38"/>
      <c r="H220" s="38"/>
      <c r="I220" s="38"/>
      <c r="J220" s="38"/>
      <c r="K220" s="38"/>
      <c r="L220" s="38"/>
      <c r="M220" s="38"/>
      <c r="N220" s="38"/>
      <c r="O220" s="38"/>
      <c r="P220" s="38"/>
      <c r="Q220" s="38"/>
      <c r="R220" s="38"/>
      <c r="S220" s="38"/>
    </row>
    <row r="221" spans="1:19" x14ac:dyDescent="0.25">
      <c r="A221" s="38"/>
      <c r="B221" s="38"/>
      <c r="C221" s="38"/>
      <c r="D221" s="38"/>
      <c r="E221" s="38"/>
      <c r="F221" s="38"/>
      <c r="G221" s="38"/>
      <c r="H221" s="38"/>
      <c r="I221" s="38"/>
      <c r="J221" s="38"/>
      <c r="K221" s="38"/>
      <c r="L221" s="38"/>
      <c r="M221" s="38"/>
      <c r="N221" s="38"/>
      <c r="O221" s="38"/>
      <c r="P221" s="38"/>
      <c r="Q221" s="38"/>
      <c r="R221" s="38"/>
      <c r="S221" s="38"/>
    </row>
    <row r="222" spans="1:19" x14ac:dyDescent="0.25">
      <c r="A222" s="38"/>
      <c r="B222" s="38"/>
      <c r="C222" s="38"/>
      <c r="D222" s="38"/>
      <c r="E222" s="38"/>
      <c r="F222" s="38"/>
      <c r="G222" s="38"/>
      <c r="H222" s="38"/>
      <c r="I222" s="38"/>
      <c r="J222" s="38"/>
      <c r="K222" s="38"/>
      <c r="L222" s="38"/>
      <c r="M222" s="38"/>
      <c r="N222" s="38"/>
      <c r="O222" s="38"/>
      <c r="P222" s="38"/>
      <c r="Q222" s="38"/>
      <c r="R222" s="38"/>
      <c r="S222" s="38"/>
    </row>
    <row r="223" spans="1:19" x14ac:dyDescent="0.25">
      <c r="A223" s="38"/>
      <c r="B223" s="38"/>
      <c r="C223" s="38"/>
      <c r="D223" s="38"/>
      <c r="E223" s="38"/>
      <c r="F223" s="38"/>
      <c r="G223" s="38"/>
      <c r="H223" s="38"/>
      <c r="I223" s="38"/>
      <c r="J223" s="38"/>
      <c r="K223" s="38"/>
      <c r="L223" s="38"/>
      <c r="M223" s="38"/>
      <c r="N223" s="38"/>
      <c r="O223" s="38"/>
      <c r="P223" s="38"/>
      <c r="Q223" s="38"/>
      <c r="R223" s="38"/>
      <c r="S223" s="38"/>
    </row>
    <row r="224" spans="1:19" x14ac:dyDescent="0.25">
      <c r="A224" s="38"/>
      <c r="B224" s="38"/>
      <c r="C224" s="38"/>
      <c r="D224" s="38"/>
      <c r="E224" s="38"/>
      <c r="F224" s="38"/>
      <c r="G224" s="38"/>
      <c r="H224" s="38"/>
      <c r="I224" s="38"/>
      <c r="J224" s="38"/>
      <c r="K224" s="38"/>
      <c r="L224" s="38"/>
      <c r="M224" s="38"/>
      <c r="N224" s="38"/>
      <c r="O224" s="38"/>
      <c r="P224" s="38"/>
      <c r="Q224" s="38"/>
      <c r="R224" s="38"/>
      <c r="S224" s="38"/>
    </row>
    <row r="225" spans="1:19" x14ac:dyDescent="0.25">
      <c r="A225" s="38"/>
      <c r="B225" s="38"/>
      <c r="C225" s="38"/>
      <c r="D225" s="38"/>
      <c r="E225" s="38"/>
      <c r="F225" s="38"/>
      <c r="G225" s="38"/>
      <c r="H225" s="38"/>
      <c r="I225" s="38"/>
      <c r="J225" s="38"/>
      <c r="K225" s="38"/>
      <c r="L225" s="38"/>
      <c r="M225" s="38"/>
      <c r="N225" s="38"/>
      <c r="O225" s="38"/>
      <c r="P225" s="38"/>
      <c r="Q225" s="38"/>
      <c r="R225" s="38"/>
      <c r="S225" s="38"/>
    </row>
    <row r="226" spans="1:19" x14ac:dyDescent="0.25">
      <c r="A226" s="38"/>
      <c r="B226" s="38"/>
      <c r="C226" s="38"/>
      <c r="D226" s="38"/>
      <c r="E226" s="38"/>
      <c r="F226" s="38"/>
      <c r="G226" s="38"/>
      <c r="H226" s="38"/>
      <c r="I226" s="38"/>
      <c r="J226" s="38"/>
      <c r="K226" s="38"/>
      <c r="L226" s="38"/>
      <c r="M226" s="38"/>
      <c r="N226" s="38"/>
      <c r="O226" s="38"/>
      <c r="P226" s="38"/>
      <c r="Q226" s="38"/>
      <c r="R226" s="38"/>
      <c r="S226" s="38"/>
    </row>
    <row r="227" spans="1:19" x14ac:dyDescent="0.25">
      <c r="A227" s="38"/>
      <c r="B227" s="38"/>
      <c r="C227" s="38"/>
      <c r="D227" s="38"/>
      <c r="E227" s="38"/>
      <c r="F227" s="38"/>
      <c r="G227" s="38"/>
      <c r="H227" s="38"/>
      <c r="I227" s="38"/>
      <c r="J227" s="38"/>
      <c r="K227" s="38"/>
      <c r="L227" s="38"/>
      <c r="M227" s="38"/>
      <c r="N227" s="38"/>
      <c r="O227" s="38"/>
      <c r="P227" s="38"/>
      <c r="Q227" s="38"/>
      <c r="R227" s="38"/>
      <c r="S227" s="38"/>
    </row>
    <row r="228" spans="1:19" x14ac:dyDescent="0.25">
      <c r="A228" s="38"/>
      <c r="B228" s="38"/>
      <c r="C228" s="38"/>
      <c r="D228" s="38"/>
      <c r="E228" s="38"/>
      <c r="F228" s="38"/>
      <c r="G228" s="38"/>
      <c r="H228" s="38"/>
      <c r="I228" s="38"/>
      <c r="J228" s="38"/>
      <c r="K228" s="38"/>
      <c r="L228" s="38"/>
      <c r="M228" s="38"/>
      <c r="N228" s="38"/>
      <c r="O228" s="38"/>
      <c r="P228" s="38"/>
      <c r="Q228" s="38"/>
      <c r="R228" s="38"/>
      <c r="S228" s="38"/>
    </row>
    <row r="229" spans="1:19" x14ac:dyDescent="0.25">
      <c r="A229" s="38"/>
      <c r="B229" s="38"/>
      <c r="C229" s="38"/>
      <c r="D229" s="38"/>
      <c r="E229" s="38"/>
      <c r="F229" s="38"/>
      <c r="G229" s="38"/>
      <c r="H229" s="38"/>
      <c r="I229" s="38"/>
      <c r="J229" s="38"/>
      <c r="K229" s="38"/>
      <c r="L229" s="38"/>
      <c r="M229" s="38"/>
      <c r="N229" s="38"/>
      <c r="O229" s="38"/>
      <c r="P229" s="38"/>
      <c r="Q229" s="38"/>
      <c r="R229" s="38"/>
      <c r="S229" s="38"/>
    </row>
    <row r="230" spans="1:19" x14ac:dyDescent="0.25">
      <c r="A230" s="38"/>
      <c r="B230" s="38"/>
      <c r="C230" s="38"/>
      <c r="D230" s="38"/>
      <c r="E230" s="38"/>
      <c r="F230" s="38"/>
      <c r="G230" s="38"/>
      <c r="H230" s="38"/>
      <c r="I230" s="38"/>
      <c r="J230" s="38"/>
      <c r="K230" s="38"/>
      <c r="L230" s="38"/>
      <c r="M230" s="38"/>
      <c r="N230" s="38"/>
      <c r="O230" s="38"/>
      <c r="P230" s="38"/>
      <c r="Q230" s="38"/>
      <c r="R230" s="38"/>
      <c r="S230" s="38"/>
    </row>
    <row r="231" spans="1:19" x14ac:dyDescent="0.25">
      <c r="A231" s="38"/>
      <c r="B231" s="38"/>
      <c r="C231" s="38"/>
      <c r="D231" s="38"/>
      <c r="E231" s="38"/>
      <c r="F231" s="38"/>
      <c r="G231" s="38"/>
      <c r="H231" s="38"/>
      <c r="I231" s="38"/>
      <c r="J231" s="38"/>
      <c r="K231" s="38"/>
      <c r="L231" s="38"/>
      <c r="M231" s="38"/>
      <c r="N231" s="38"/>
      <c r="O231" s="38"/>
      <c r="P231" s="38"/>
      <c r="Q231" s="38"/>
      <c r="R231" s="38"/>
      <c r="S231" s="38"/>
    </row>
    <row r="232" spans="1:19" x14ac:dyDescent="0.25">
      <c r="A232" s="38"/>
      <c r="B232" s="38"/>
      <c r="C232" s="38"/>
      <c r="D232" s="38"/>
      <c r="E232" s="38"/>
      <c r="F232" s="38"/>
      <c r="G232" s="38"/>
      <c r="H232" s="38"/>
      <c r="I232" s="38"/>
      <c r="J232" s="38"/>
      <c r="K232" s="38"/>
      <c r="L232" s="38"/>
      <c r="M232" s="38"/>
      <c r="N232" s="38"/>
      <c r="O232" s="38"/>
      <c r="P232" s="38"/>
      <c r="Q232" s="38"/>
      <c r="R232" s="38"/>
      <c r="S232" s="38"/>
    </row>
    <row r="233" spans="1:19" x14ac:dyDescent="0.25">
      <c r="A233" s="38"/>
      <c r="B233" s="38"/>
      <c r="C233" s="38"/>
      <c r="D233" s="38"/>
      <c r="E233" s="38"/>
      <c r="F233" s="38"/>
      <c r="G233" s="38"/>
      <c r="H233" s="38"/>
      <c r="I233" s="38"/>
      <c r="J233" s="38"/>
      <c r="K233" s="38"/>
      <c r="L233" s="38"/>
      <c r="M233" s="38"/>
      <c r="N233" s="38"/>
      <c r="O233" s="38"/>
      <c r="P233" s="38"/>
      <c r="Q233" s="38"/>
      <c r="R233" s="38"/>
      <c r="S233" s="38"/>
    </row>
    <row r="234" spans="1:19" x14ac:dyDescent="0.25">
      <c r="A234" s="38"/>
      <c r="B234" s="38"/>
      <c r="C234" s="38"/>
      <c r="D234" s="38"/>
      <c r="E234" s="38"/>
      <c r="F234" s="38"/>
      <c r="G234" s="38"/>
      <c r="H234" s="38"/>
      <c r="I234" s="38"/>
      <c r="J234" s="38"/>
      <c r="K234" s="38"/>
      <c r="L234" s="38"/>
      <c r="M234" s="38"/>
      <c r="N234" s="38"/>
      <c r="O234" s="38"/>
      <c r="P234" s="38"/>
      <c r="Q234" s="38"/>
      <c r="R234" s="38"/>
      <c r="S234" s="38"/>
    </row>
    <row r="235" spans="1:19" x14ac:dyDescent="0.25">
      <c r="A235" s="38"/>
      <c r="B235" s="38"/>
      <c r="C235" s="38"/>
      <c r="D235" s="38"/>
      <c r="E235" s="38"/>
      <c r="F235" s="38"/>
      <c r="G235" s="38"/>
      <c r="H235" s="38"/>
      <c r="I235" s="38"/>
      <c r="J235" s="38"/>
      <c r="K235" s="38"/>
      <c r="L235" s="38"/>
      <c r="M235" s="38"/>
      <c r="N235" s="38"/>
      <c r="O235" s="38"/>
      <c r="P235" s="38"/>
      <c r="Q235" s="38"/>
      <c r="R235" s="38"/>
      <c r="S235" s="38"/>
    </row>
    <row r="236" spans="1:19" x14ac:dyDescent="0.25">
      <c r="A236" s="38"/>
      <c r="B236" s="38"/>
      <c r="C236" s="38"/>
      <c r="D236" s="38"/>
      <c r="E236" s="38"/>
      <c r="F236" s="38"/>
      <c r="G236" s="38"/>
      <c r="H236" s="38"/>
      <c r="I236" s="38"/>
      <c r="J236" s="38"/>
      <c r="K236" s="38"/>
      <c r="L236" s="38"/>
      <c r="M236" s="38"/>
      <c r="N236" s="38"/>
      <c r="O236" s="38"/>
      <c r="P236" s="38"/>
      <c r="Q236" s="38"/>
      <c r="R236" s="38"/>
      <c r="S236" s="38"/>
    </row>
    <row r="237" spans="1:19" x14ac:dyDescent="0.25">
      <c r="A237" s="38"/>
      <c r="B237" s="38"/>
      <c r="C237" s="38"/>
      <c r="D237" s="38"/>
      <c r="E237" s="38"/>
      <c r="F237" s="38"/>
      <c r="G237" s="38"/>
      <c r="H237" s="38"/>
      <c r="I237" s="38"/>
      <c r="J237" s="38"/>
      <c r="K237" s="38"/>
      <c r="L237" s="38"/>
      <c r="M237" s="38"/>
      <c r="N237" s="38"/>
      <c r="O237" s="38"/>
      <c r="P237" s="38"/>
      <c r="Q237" s="38"/>
      <c r="R237" s="38"/>
      <c r="S237" s="38"/>
    </row>
    <row r="238" spans="1:19" x14ac:dyDescent="0.25">
      <c r="A238" s="38"/>
      <c r="B238" s="38"/>
      <c r="C238" s="38"/>
      <c r="D238" s="38"/>
      <c r="E238" s="38"/>
      <c r="F238" s="38"/>
      <c r="G238" s="38"/>
      <c r="H238" s="38"/>
      <c r="I238" s="38"/>
      <c r="J238" s="38"/>
      <c r="K238" s="38"/>
      <c r="L238" s="38"/>
      <c r="M238" s="38"/>
      <c r="N238" s="38"/>
      <c r="O238" s="38"/>
      <c r="P238" s="38"/>
      <c r="Q238" s="38"/>
      <c r="R238" s="38"/>
      <c r="S238" s="38"/>
    </row>
    <row r="239" spans="1:19" x14ac:dyDescent="0.25">
      <c r="A239" s="38"/>
      <c r="B239" s="38"/>
      <c r="C239" s="38"/>
      <c r="D239" s="38"/>
      <c r="E239" s="38"/>
      <c r="F239" s="38"/>
      <c r="G239" s="38"/>
      <c r="H239" s="38"/>
      <c r="I239" s="38"/>
      <c r="J239" s="38"/>
      <c r="K239" s="38"/>
      <c r="L239" s="38"/>
      <c r="M239" s="38"/>
      <c r="N239" s="38"/>
      <c r="O239" s="38"/>
      <c r="P239" s="38"/>
      <c r="Q239" s="38"/>
      <c r="R239" s="38"/>
      <c r="S239" s="38"/>
    </row>
    <row r="240" spans="1:19" x14ac:dyDescent="0.25">
      <c r="A240" s="38"/>
      <c r="B240" s="38"/>
      <c r="C240" s="38"/>
      <c r="D240" s="38"/>
      <c r="E240" s="38"/>
      <c r="F240" s="38"/>
      <c r="G240" s="38"/>
      <c r="H240" s="38"/>
      <c r="I240" s="38"/>
      <c r="J240" s="38"/>
      <c r="K240" s="38"/>
      <c r="L240" s="38"/>
      <c r="M240" s="38"/>
      <c r="N240" s="38"/>
      <c r="O240" s="38"/>
      <c r="P240" s="38"/>
      <c r="Q240" s="38"/>
      <c r="R240" s="38"/>
      <c r="S240" s="38"/>
    </row>
    <row r="241" spans="1:19" x14ac:dyDescent="0.25">
      <c r="A241" s="38"/>
      <c r="B241" s="38"/>
      <c r="C241" s="38"/>
      <c r="D241" s="38"/>
      <c r="E241" s="38"/>
      <c r="F241" s="38"/>
      <c r="G241" s="38"/>
      <c r="H241" s="38"/>
      <c r="I241" s="38"/>
      <c r="J241" s="38"/>
      <c r="K241" s="38"/>
      <c r="L241" s="38"/>
      <c r="M241" s="38"/>
      <c r="N241" s="38"/>
      <c r="O241" s="38"/>
      <c r="P241" s="38"/>
      <c r="Q241" s="38"/>
      <c r="R241" s="38"/>
      <c r="S241" s="38"/>
    </row>
    <row r="242" spans="1:19" x14ac:dyDescent="0.25">
      <c r="A242" s="38"/>
      <c r="B242" s="38"/>
      <c r="C242" s="38"/>
      <c r="D242" s="38"/>
      <c r="E242" s="38"/>
      <c r="F242" s="38"/>
      <c r="G242" s="38"/>
      <c r="H242" s="38"/>
      <c r="I242" s="38"/>
      <c r="J242" s="38"/>
      <c r="K242" s="38"/>
      <c r="L242" s="38"/>
      <c r="M242" s="38"/>
      <c r="N242" s="38"/>
      <c r="O242" s="38"/>
      <c r="P242" s="38"/>
      <c r="Q242" s="38"/>
      <c r="R242" s="38"/>
      <c r="S242" s="38"/>
    </row>
    <row r="243" spans="1:19" x14ac:dyDescent="0.25">
      <c r="A243" s="38"/>
      <c r="B243" s="38"/>
      <c r="C243" s="38"/>
      <c r="D243" s="38"/>
      <c r="E243" s="38"/>
      <c r="F243" s="38"/>
      <c r="G243" s="38"/>
      <c r="H243" s="38"/>
      <c r="I243" s="38"/>
      <c r="J243" s="38"/>
      <c r="K243" s="38"/>
      <c r="L243" s="38"/>
      <c r="M243" s="38"/>
      <c r="N243" s="38"/>
      <c r="O243" s="38"/>
      <c r="P243" s="38"/>
      <c r="Q243" s="38"/>
      <c r="R243" s="38"/>
      <c r="S243" s="38"/>
    </row>
    <row r="244" spans="1:19" x14ac:dyDescent="0.25">
      <c r="A244" s="38"/>
      <c r="B244" s="38"/>
      <c r="C244" s="38"/>
      <c r="D244" s="38"/>
      <c r="E244" s="38"/>
      <c r="F244" s="38"/>
      <c r="G244" s="38"/>
      <c r="H244" s="38"/>
      <c r="I244" s="38"/>
      <c r="J244" s="38"/>
      <c r="K244" s="38"/>
      <c r="L244" s="38"/>
      <c r="M244" s="38"/>
      <c r="N244" s="38"/>
      <c r="O244" s="38"/>
      <c r="P244" s="38"/>
      <c r="Q244" s="38"/>
      <c r="R244" s="38"/>
      <c r="S244" s="38"/>
    </row>
    <row r="245" spans="1:19" x14ac:dyDescent="0.25">
      <c r="A245" s="38"/>
      <c r="B245" s="38"/>
      <c r="C245" s="38"/>
      <c r="D245" s="38"/>
      <c r="E245" s="38"/>
      <c r="F245" s="38"/>
      <c r="G245" s="38"/>
      <c r="H245" s="38"/>
      <c r="I245" s="38"/>
      <c r="J245" s="38"/>
      <c r="K245" s="38"/>
      <c r="L245" s="38"/>
      <c r="M245" s="38"/>
      <c r="N245" s="38"/>
      <c r="O245" s="38"/>
      <c r="P245" s="38"/>
      <c r="Q245" s="38"/>
      <c r="R245" s="38"/>
      <c r="S245" s="38"/>
    </row>
    <row r="246" spans="1:19" x14ac:dyDescent="0.25">
      <c r="A246" s="38"/>
      <c r="B246" s="38"/>
      <c r="C246" s="38"/>
      <c r="D246" s="38"/>
      <c r="E246" s="38"/>
      <c r="F246" s="38"/>
      <c r="G246" s="38"/>
      <c r="H246" s="38"/>
      <c r="I246" s="38"/>
      <c r="J246" s="38"/>
      <c r="K246" s="38"/>
      <c r="L246" s="38"/>
      <c r="M246" s="38"/>
      <c r="N246" s="38"/>
      <c r="O246" s="38"/>
      <c r="P246" s="38"/>
      <c r="Q246" s="38"/>
      <c r="R246" s="38"/>
      <c r="S246" s="38"/>
    </row>
    <row r="247" spans="1:19" x14ac:dyDescent="0.25">
      <c r="A247" s="38"/>
      <c r="B247" s="38"/>
      <c r="C247" s="38"/>
      <c r="D247" s="38"/>
      <c r="E247" s="38"/>
      <c r="F247" s="38"/>
      <c r="G247" s="38"/>
      <c r="H247" s="38"/>
      <c r="I247" s="38"/>
      <c r="J247" s="38"/>
      <c r="K247" s="38"/>
      <c r="L247" s="38"/>
      <c r="M247" s="38"/>
      <c r="N247" s="38"/>
      <c r="O247" s="38"/>
      <c r="P247" s="38"/>
      <c r="Q247" s="38"/>
      <c r="R247" s="38"/>
      <c r="S247" s="38"/>
    </row>
    <row r="248" spans="1:19" x14ac:dyDescent="0.25">
      <c r="A248" s="38"/>
      <c r="B248" s="38"/>
      <c r="C248" s="38"/>
      <c r="D248" s="38"/>
      <c r="E248" s="38"/>
      <c r="F248" s="38"/>
      <c r="G248" s="38"/>
      <c r="H248" s="38"/>
      <c r="I248" s="38"/>
      <c r="J248" s="38"/>
      <c r="K248" s="38"/>
      <c r="L248" s="38"/>
      <c r="M248" s="38"/>
      <c r="N248" s="38"/>
      <c r="O248" s="38"/>
      <c r="P248" s="38"/>
      <c r="Q248" s="38"/>
      <c r="R248" s="38"/>
      <c r="S248" s="38"/>
    </row>
    <row r="249" spans="1:19" x14ac:dyDescent="0.25">
      <c r="A249" s="38"/>
      <c r="B249" s="38"/>
      <c r="C249" s="38"/>
      <c r="D249" s="38"/>
      <c r="E249" s="38"/>
      <c r="F249" s="38"/>
      <c r="G249" s="38"/>
      <c r="H249" s="38"/>
      <c r="I249" s="38"/>
      <c r="J249" s="38"/>
      <c r="K249" s="38"/>
      <c r="L249" s="38"/>
      <c r="M249" s="38"/>
      <c r="N249" s="38"/>
      <c r="O249" s="38"/>
      <c r="P249" s="38"/>
      <c r="Q249" s="38"/>
      <c r="R249" s="38"/>
      <c r="S249" s="38"/>
    </row>
    <row r="250" spans="1:19" x14ac:dyDescent="0.25">
      <c r="A250" s="38"/>
      <c r="B250" s="38"/>
      <c r="C250" s="38"/>
      <c r="D250" s="38"/>
      <c r="E250" s="38"/>
      <c r="F250" s="38"/>
      <c r="G250" s="38"/>
      <c r="H250" s="38"/>
      <c r="I250" s="38"/>
      <c r="J250" s="38"/>
      <c r="K250" s="38"/>
      <c r="L250" s="38"/>
      <c r="M250" s="38"/>
      <c r="N250" s="38"/>
      <c r="O250" s="38"/>
      <c r="P250" s="38"/>
      <c r="Q250" s="38"/>
      <c r="R250" s="38"/>
      <c r="S250" s="38"/>
    </row>
    <row r="251" spans="1:19" x14ac:dyDescent="0.25">
      <c r="A251" s="38"/>
      <c r="B251" s="38"/>
      <c r="C251" s="38"/>
      <c r="D251" s="38"/>
      <c r="E251" s="38"/>
      <c r="F251" s="38"/>
      <c r="G251" s="38"/>
      <c r="H251" s="38"/>
      <c r="I251" s="38"/>
      <c r="J251" s="38"/>
      <c r="K251" s="38"/>
      <c r="L251" s="38"/>
      <c r="M251" s="38"/>
      <c r="N251" s="38"/>
      <c r="O251" s="38"/>
      <c r="P251" s="38"/>
      <c r="Q251" s="38"/>
      <c r="R251" s="38"/>
      <c r="S251" s="38"/>
    </row>
    <row r="252" spans="1:19" x14ac:dyDescent="0.25">
      <c r="A252" s="38"/>
      <c r="B252" s="38"/>
      <c r="C252" s="38"/>
      <c r="D252" s="38"/>
      <c r="E252" s="38"/>
      <c r="F252" s="38"/>
      <c r="G252" s="38"/>
      <c r="H252" s="38"/>
      <c r="I252" s="38"/>
      <c r="J252" s="38"/>
      <c r="K252" s="38"/>
      <c r="L252" s="38"/>
      <c r="M252" s="38"/>
      <c r="N252" s="38"/>
      <c r="O252" s="38"/>
      <c r="P252" s="38"/>
      <c r="Q252" s="38"/>
      <c r="R252" s="38"/>
      <c r="S252" s="38"/>
    </row>
    <row r="253" spans="1:19" x14ac:dyDescent="0.25">
      <c r="A253" s="38"/>
      <c r="B253" s="38"/>
      <c r="C253" s="38"/>
      <c r="D253" s="38"/>
      <c r="E253" s="38"/>
      <c r="F253" s="38"/>
      <c r="G253" s="38"/>
      <c r="H253" s="38"/>
      <c r="I253" s="38"/>
      <c r="J253" s="38"/>
      <c r="K253" s="38"/>
      <c r="L253" s="38"/>
      <c r="M253" s="38"/>
      <c r="N253" s="38"/>
      <c r="O253" s="38"/>
      <c r="P253" s="38"/>
      <c r="Q253" s="38"/>
      <c r="R253" s="38"/>
      <c r="S253" s="38"/>
    </row>
    <row r="254" spans="1:19" x14ac:dyDescent="0.25">
      <c r="A254" s="38"/>
      <c r="B254" s="38"/>
      <c r="C254" s="38"/>
      <c r="D254" s="38"/>
      <c r="E254" s="38"/>
      <c r="F254" s="38"/>
      <c r="G254" s="38"/>
      <c r="H254" s="38"/>
      <c r="I254" s="38"/>
      <c r="J254" s="38"/>
      <c r="K254" s="38"/>
      <c r="L254" s="38"/>
      <c r="M254" s="38"/>
      <c r="N254" s="38"/>
      <c r="O254" s="38"/>
      <c r="P254" s="38"/>
      <c r="Q254" s="38"/>
      <c r="R254" s="38"/>
      <c r="S254" s="38"/>
    </row>
    <row r="255" spans="1:19" x14ac:dyDescent="0.25">
      <c r="A255" s="38"/>
      <c r="B255" s="38"/>
      <c r="C255" s="38"/>
      <c r="D255" s="38"/>
      <c r="E255" s="38"/>
      <c r="F255" s="38"/>
      <c r="G255" s="38"/>
      <c r="H255" s="38"/>
      <c r="I255" s="38"/>
      <c r="J255" s="38"/>
      <c r="K255" s="38"/>
      <c r="L255" s="38"/>
      <c r="M255" s="38"/>
      <c r="N255" s="38"/>
      <c r="O255" s="38"/>
      <c r="P255" s="38"/>
      <c r="Q255" s="38"/>
      <c r="R255" s="38"/>
      <c r="S255" s="38"/>
    </row>
    <row r="256" spans="1:19" x14ac:dyDescent="0.25">
      <c r="A256" s="38"/>
      <c r="B256" s="38"/>
      <c r="C256" s="38"/>
      <c r="D256" s="38"/>
      <c r="E256" s="38"/>
      <c r="F256" s="38"/>
      <c r="G256" s="38"/>
      <c r="H256" s="38"/>
      <c r="I256" s="38"/>
      <c r="J256" s="38"/>
      <c r="K256" s="38"/>
      <c r="L256" s="38"/>
      <c r="M256" s="38"/>
      <c r="N256" s="38"/>
      <c r="O256" s="38"/>
      <c r="P256" s="38"/>
      <c r="Q256" s="38"/>
      <c r="R256" s="38"/>
      <c r="S256" s="38"/>
    </row>
    <row r="257" spans="1:19" x14ac:dyDescent="0.25">
      <c r="A257" s="38"/>
      <c r="B257" s="38"/>
      <c r="C257" s="38"/>
      <c r="D257" s="38"/>
      <c r="E257" s="38"/>
      <c r="F257" s="38"/>
      <c r="G257" s="38"/>
      <c r="H257" s="38"/>
      <c r="I257" s="38"/>
      <c r="J257" s="38"/>
      <c r="K257" s="38"/>
      <c r="L257" s="38"/>
      <c r="M257" s="38"/>
      <c r="N257" s="38"/>
      <c r="O257" s="38"/>
      <c r="P257" s="38"/>
      <c r="Q257" s="38"/>
      <c r="R257" s="38"/>
      <c r="S257" s="38"/>
    </row>
    <row r="258" spans="1:19" x14ac:dyDescent="0.25">
      <c r="A258" s="38"/>
      <c r="B258" s="38"/>
      <c r="C258" s="38"/>
      <c r="D258" s="38"/>
      <c r="E258" s="38"/>
      <c r="F258" s="38"/>
      <c r="G258" s="38"/>
      <c r="H258" s="38"/>
      <c r="I258" s="38"/>
      <c r="J258" s="38"/>
      <c r="K258" s="38"/>
      <c r="L258" s="38"/>
      <c r="M258" s="38"/>
      <c r="N258" s="38"/>
      <c r="O258" s="38"/>
      <c r="P258" s="38"/>
      <c r="Q258" s="38"/>
      <c r="R258" s="38"/>
      <c r="S258" s="38"/>
    </row>
    <row r="259" spans="1:19" x14ac:dyDescent="0.25">
      <c r="A259" s="38"/>
      <c r="B259" s="38"/>
      <c r="C259" s="38"/>
      <c r="D259" s="38"/>
      <c r="E259" s="38"/>
      <c r="F259" s="38"/>
      <c r="G259" s="38"/>
      <c r="H259" s="38"/>
      <c r="I259" s="38"/>
      <c r="J259" s="38"/>
      <c r="K259" s="38"/>
      <c r="L259" s="38"/>
      <c r="M259" s="38"/>
      <c r="N259" s="38"/>
      <c r="O259" s="38"/>
      <c r="P259" s="38"/>
      <c r="Q259" s="38"/>
      <c r="R259" s="38"/>
      <c r="S259" s="38"/>
    </row>
    <row r="260" spans="1:19" x14ac:dyDescent="0.25">
      <c r="A260" s="38"/>
      <c r="B260" s="38"/>
      <c r="C260" s="38"/>
      <c r="D260" s="38"/>
      <c r="E260" s="38"/>
      <c r="F260" s="38"/>
      <c r="G260" s="38"/>
      <c r="H260" s="38"/>
      <c r="I260" s="38"/>
      <c r="J260" s="38"/>
      <c r="K260" s="38"/>
      <c r="L260" s="38"/>
      <c r="M260" s="38"/>
      <c r="N260" s="38"/>
      <c r="O260" s="38"/>
      <c r="P260" s="38"/>
      <c r="Q260" s="38"/>
      <c r="R260" s="38"/>
      <c r="S260" s="38"/>
    </row>
    <row r="261" spans="1:19" x14ac:dyDescent="0.25">
      <c r="A261" s="38"/>
      <c r="B261" s="38"/>
      <c r="C261" s="38"/>
      <c r="D261" s="38"/>
      <c r="E261" s="38"/>
      <c r="F261" s="38"/>
      <c r="G261" s="38"/>
      <c r="H261" s="38"/>
      <c r="I261" s="38"/>
      <c r="J261" s="38"/>
      <c r="K261" s="38"/>
      <c r="L261" s="38"/>
      <c r="M261" s="38"/>
      <c r="N261" s="38"/>
      <c r="O261" s="38"/>
      <c r="P261" s="38"/>
      <c r="Q261" s="38"/>
      <c r="R261" s="38"/>
      <c r="S261" s="38"/>
    </row>
    <row r="262" spans="1:19" x14ac:dyDescent="0.25">
      <c r="A262" s="38"/>
      <c r="B262" s="38"/>
      <c r="C262" s="38"/>
      <c r="D262" s="38"/>
      <c r="E262" s="38"/>
      <c r="F262" s="38"/>
      <c r="G262" s="38"/>
      <c r="H262" s="38"/>
      <c r="I262" s="38"/>
      <c r="J262" s="38"/>
      <c r="K262" s="38"/>
      <c r="L262" s="38"/>
      <c r="M262" s="38"/>
      <c r="N262" s="38"/>
      <c r="O262" s="38"/>
      <c r="P262" s="38"/>
      <c r="Q262" s="38"/>
      <c r="R262" s="38"/>
      <c r="S262" s="38"/>
    </row>
    <row r="263" spans="1:19" x14ac:dyDescent="0.25">
      <c r="A263" s="38"/>
      <c r="B263" s="38"/>
      <c r="C263" s="38"/>
      <c r="D263" s="38"/>
      <c r="E263" s="38"/>
      <c r="F263" s="38"/>
      <c r="G263" s="38"/>
      <c r="H263" s="38"/>
      <c r="I263" s="38"/>
      <c r="J263" s="38"/>
      <c r="K263" s="38"/>
      <c r="L263" s="38"/>
      <c r="M263" s="38"/>
      <c r="N263" s="38"/>
      <c r="O263" s="38"/>
      <c r="P263" s="38"/>
      <c r="Q263" s="38"/>
      <c r="R263" s="38"/>
      <c r="S263" s="38"/>
    </row>
    <row r="264" spans="1:19" x14ac:dyDescent="0.25">
      <c r="A264" s="38"/>
      <c r="B264" s="38"/>
      <c r="C264" s="38"/>
      <c r="D264" s="38"/>
      <c r="E264" s="38"/>
      <c r="F264" s="38"/>
      <c r="G264" s="38"/>
      <c r="H264" s="38"/>
      <c r="I264" s="38"/>
      <c r="J264" s="38"/>
      <c r="K264" s="38"/>
      <c r="L264" s="38"/>
      <c r="M264" s="38"/>
      <c r="N264" s="38"/>
      <c r="O264" s="38"/>
      <c r="P264" s="38"/>
      <c r="Q264" s="38"/>
      <c r="R264" s="38"/>
      <c r="S264" s="38"/>
    </row>
    <row r="265" spans="1:19" x14ac:dyDescent="0.25">
      <c r="A265" s="38"/>
      <c r="B265" s="38"/>
      <c r="C265" s="38"/>
      <c r="D265" s="38"/>
      <c r="E265" s="38"/>
      <c r="F265" s="38"/>
      <c r="G265" s="38"/>
      <c r="H265" s="38"/>
      <c r="I265" s="38"/>
      <c r="J265" s="38"/>
      <c r="K265" s="38"/>
      <c r="L265" s="38"/>
      <c r="M265" s="38"/>
      <c r="N265" s="38"/>
      <c r="O265" s="38"/>
      <c r="P265" s="38"/>
      <c r="Q265" s="38"/>
      <c r="R265" s="38"/>
      <c r="S265" s="38"/>
    </row>
    <row r="266" spans="1:19" x14ac:dyDescent="0.25">
      <c r="A266" s="38"/>
      <c r="B266" s="38"/>
      <c r="C266" s="38"/>
      <c r="D266" s="38"/>
      <c r="E266" s="38"/>
      <c r="F266" s="38"/>
      <c r="G266" s="38"/>
      <c r="H266" s="38"/>
      <c r="I266" s="38"/>
      <c r="J266" s="38"/>
      <c r="K266" s="38"/>
      <c r="L266" s="38"/>
      <c r="M266" s="38"/>
      <c r="N266" s="38"/>
      <c r="O266" s="38"/>
      <c r="P266" s="38"/>
      <c r="Q266" s="38"/>
      <c r="R266" s="38"/>
      <c r="S266" s="38"/>
    </row>
    <row r="267" spans="1:19" x14ac:dyDescent="0.25">
      <c r="A267" s="38"/>
      <c r="B267" s="38"/>
      <c r="C267" s="38"/>
      <c r="D267" s="38"/>
      <c r="E267" s="38"/>
      <c r="F267" s="38"/>
      <c r="G267" s="38"/>
      <c r="H267" s="38"/>
      <c r="I267" s="38"/>
      <c r="J267" s="38"/>
      <c r="K267" s="38"/>
      <c r="L267" s="38"/>
      <c r="M267" s="38"/>
      <c r="N267" s="38"/>
      <c r="O267" s="38"/>
      <c r="P267" s="38"/>
      <c r="Q267" s="38"/>
      <c r="R267" s="38"/>
      <c r="S267" s="38"/>
    </row>
    <row r="268" spans="1:19" x14ac:dyDescent="0.25">
      <c r="A268" s="38"/>
      <c r="B268" s="38"/>
      <c r="C268" s="38"/>
      <c r="D268" s="38"/>
      <c r="E268" s="38"/>
      <c r="F268" s="38"/>
      <c r="G268" s="38"/>
      <c r="H268" s="38"/>
      <c r="I268" s="38"/>
      <c r="J268" s="38"/>
      <c r="K268" s="38"/>
      <c r="L268" s="38"/>
      <c r="M268" s="38"/>
      <c r="N268" s="38"/>
      <c r="O268" s="38"/>
      <c r="P268" s="38"/>
      <c r="Q268" s="38"/>
      <c r="R268" s="38"/>
      <c r="S268" s="38"/>
    </row>
    <row r="269" spans="1:19" x14ac:dyDescent="0.25">
      <c r="A269" s="38"/>
      <c r="B269" s="38"/>
      <c r="C269" s="38"/>
      <c r="D269" s="38"/>
      <c r="E269" s="38"/>
      <c r="F269" s="38"/>
      <c r="G269" s="38"/>
      <c r="H269" s="38"/>
      <c r="I269" s="38"/>
      <c r="J269" s="38"/>
      <c r="K269" s="38"/>
      <c r="L269" s="38"/>
      <c r="M269" s="38"/>
      <c r="N269" s="38"/>
      <c r="O269" s="38"/>
      <c r="P269" s="38"/>
      <c r="Q269" s="38"/>
      <c r="R269" s="38"/>
      <c r="S269" s="38"/>
    </row>
    <row r="270" spans="1:19" x14ac:dyDescent="0.25">
      <c r="A270" s="38"/>
      <c r="B270" s="38"/>
      <c r="C270" s="38"/>
      <c r="D270" s="38"/>
      <c r="E270" s="38"/>
      <c r="F270" s="38"/>
      <c r="G270" s="38"/>
      <c r="H270" s="38"/>
      <c r="I270" s="38"/>
      <c r="J270" s="38"/>
      <c r="K270" s="38"/>
      <c r="L270" s="38"/>
      <c r="M270" s="38"/>
      <c r="N270" s="38"/>
      <c r="O270" s="38"/>
      <c r="P270" s="38"/>
      <c r="Q270" s="38"/>
      <c r="R270" s="38"/>
      <c r="S270" s="38"/>
    </row>
    <row r="271" spans="1:19" x14ac:dyDescent="0.25">
      <c r="A271" s="38"/>
      <c r="B271" s="38"/>
      <c r="C271" s="38"/>
      <c r="D271" s="38"/>
      <c r="E271" s="38"/>
      <c r="F271" s="38"/>
      <c r="G271" s="38"/>
      <c r="H271" s="38"/>
      <c r="I271" s="38"/>
      <c r="J271" s="38"/>
      <c r="K271" s="38"/>
      <c r="L271" s="38"/>
      <c r="M271" s="38"/>
      <c r="N271" s="38"/>
      <c r="O271" s="38"/>
      <c r="P271" s="38"/>
      <c r="Q271" s="38"/>
      <c r="R271" s="38"/>
      <c r="S271" s="38"/>
    </row>
    <row r="272" spans="1:19" x14ac:dyDescent="0.25">
      <c r="A272" s="38"/>
      <c r="B272" s="38"/>
      <c r="C272" s="38"/>
      <c r="D272" s="38"/>
      <c r="E272" s="38"/>
      <c r="F272" s="38"/>
      <c r="G272" s="38"/>
      <c r="H272" s="38"/>
      <c r="I272" s="38"/>
      <c r="J272" s="38"/>
      <c r="K272" s="38"/>
      <c r="L272" s="38"/>
      <c r="M272" s="38"/>
      <c r="N272" s="38"/>
      <c r="O272" s="38"/>
      <c r="P272" s="38"/>
      <c r="Q272" s="38"/>
      <c r="R272" s="38"/>
      <c r="S272" s="38"/>
    </row>
    <row r="273" spans="1:19" x14ac:dyDescent="0.25">
      <c r="A273" s="38"/>
      <c r="B273" s="38"/>
      <c r="C273" s="38"/>
      <c r="D273" s="38"/>
      <c r="E273" s="38"/>
      <c r="F273" s="38"/>
      <c r="G273" s="38"/>
      <c r="H273" s="38"/>
      <c r="I273" s="38"/>
      <c r="J273" s="38"/>
      <c r="K273" s="38"/>
      <c r="L273" s="38"/>
      <c r="M273" s="38"/>
      <c r="N273" s="38"/>
      <c r="O273" s="38"/>
      <c r="P273" s="38"/>
      <c r="Q273" s="38"/>
      <c r="R273" s="38"/>
      <c r="S273" s="38"/>
    </row>
    <row r="274" spans="1:19" x14ac:dyDescent="0.25">
      <c r="A274" s="38"/>
      <c r="B274" s="38"/>
      <c r="C274" s="38"/>
      <c r="D274" s="38"/>
      <c r="E274" s="38"/>
      <c r="F274" s="38"/>
      <c r="G274" s="38"/>
      <c r="H274" s="38"/>
      <c r="I274" s="38"/>
      <c r="J274" s="38"/>
      <c r="K274" s="38"/>
      <c r="L274" s="38"/>
      <c r="M274" s="38"/>
      <c r="N274" s="38"/>
      <c r="O274" s="38"/>
      <c r="P274" s="38"/>
      <c r="Q274" s="38"/>
      <c r="R274" s="38"/>
      <c r="S274" s="38"/>
    </row>
    <row r="275" spans="1:19" x14ac:dyDescent="0.25">
      <c r="A275" s="38"/>
      <c r="B275" s="38"/>
      <c r="C275" s="38"/>
      <c r="D275" s="38"/>
      <c r="E275" s="38"/>
      <c r="F275" s="38"/>
      <c r="G275" s="38"/>
      <c r="H275" s="38"/>
      <c r="I275" s="38"/>
      <c r="J275" s="38"/>
      <c r="K275" s="38"/>
      <c r="L275" s="38"/>
      <c r="M275" s="38"/>
      <c r="N275" s="38"/>
      <c r="O275" s="38"/>
      <c r="P275" s="38"/>
      <c r="Q275" s="38"/>
      <c r="R275" s="38"/>
      <c r="S275" s="38"/>
    </row>
    <row r="276" spans="1:19" x14ac:dyDescent="0.25">
      <c r="A276" s="38"/>
      <c r="B276" s="38"/>
      <c r="C276" s="38"/>
      <c r="D276" s="38"/>
      <c r="E276" s="38"/>
      <c r="F276" s="38"/>
      <c r="G276" s="38"/>
      <c r="H276" s="38"/>
      <c r="I276" s="38"/>
      <c r="J276" s="38"/>
      <c r="K276" s="38"/>
      <c r="L276" s="38"/>
      <c r="M276" s="38"/>
      <c r="N276" s="38"/>
      <c r="O276" s="38"/>
      <c r="P276" s="38"/>
      <c r="Q276" s="38"/>
      <c r="R276" s="38"/>
      <c r="S276" s="38"/>
    </row>
    <row r="277" spans="1:19" x14ac:dyDescent="0.25">
      <c r="A277" s="38"/>
      <c r="B277" s="38"/>
      <c r="C277" s="38"/>
      <c r="D277" s="38"/>
      <c r="E277" s="38"/>
      <c r="F277" s="38"/>
      <c r="G277" s="38"/>
      <c r="H277" s="38"/>
      <c r="I277" s="38"/>
      <c r="J277" s="38"/>
      <c r="K277" s="38"/>
      <c r="L277" s="38"/>
      <c r="M277" s="38"/>
      <c r="N277" s="38"/>
      <c r="O277" s="38"/>
      <c r="P277" s="38"/>
      <c r="Q277" s="38"/>
      <c r="R277" s="38"/>
      <c r="S277" s="38"/>
    </row>
    <row r="278" spans="1:19" x14ac:dyDescent="0.25">
      <c r="A278" s="38"/>
      <c r="B278" s="38"/>
      <c r="C278" s="38"/>
      <c r="D278" s="38"/>
      <c r="E278" s="38"/>
      <c r="F278" s="38"/>
      <c r="G278" s="38"/>
      <c r="H278" s="38"/>
      <c r="I278" s="38"/>
      <c r="J278" s="38"/>
      <c r="K278" s="38"/>
      <c r="L278" s="38"/>
      <c r="M278" s="38"/>
      <c r="N278" s="38"/>
      <c r="O278" s="38"/>
      <c r="P278" s="38"/>
      <c r="Q278" s="38"/>
      <c r="R278" s="38"/>
      <c r="S278" s="38"/>
    </row>
    <row r="279" spans="1:19" x14ac:dyDescent="0.25">
      <c r="A279" s="38"/>
      <c r="B279" s="38"/>
      <c r="C279" s="38"/>
      <c r="D279" s="38"/>
      <c r="E279" s="38"/>
      <c r="F279" s="38"/>
      <c r="G279" s="38"/>
      <c r="H279" s="38"/>
      <c r="I279" s="38"/>
      <c r="J279" s="38"/>
      <c r="K279" s="38"/>
      <c r="L279" s="38"/>
      <c r="M279" s="38"/>
      <c r="N279" s="38"/>
      <c r="O279" s="38"/>
      <c r="P279" s="38"/>
      <c r="Q279" s="38"/>
      <c r="R279" s="38"/>
      <c r="S279" s="38"/>
    </row>
    <row r="280" spans="1:19" x14ac:dyDescent="0.25">
      <c r="A280" s="38"/>
      <c r="B280" s="38"/>
      <c r="C280" s="38"/>
      <c r="D280" s="38"/>
      <c r="E280" s="38"/>
      <c r="F280" s="38"/>
      <c r="G280" s="38"/>
      <c r="H280" s="38"/>
      <c r="I280" s="38"/>
      <c r="J280" s="38"/>
      <c r="K280" s="38"/>
      <c r="L280" s="38"/>
      <c r="M280" s="38"/>
      <c r="N280" s="38"/>
      <c r="O280" s="38"/>
      <c r="P280" s="38"/>
      <c r="Q280" s="38"/>
      <c r="R280" s="38"/>
      <c r="S280" s="38"/>
    </row>
    <row r="281" spans="1:19" x14ac:dyDescent="0.25">
      <c r="A281" s="38"/>
      <c r="B281" s="38"/>
      <c r="C281" s="38"/>
      <c r="D281" s="38"/>
      <c r="E281" s="38"/>
      <c r="F281" s="38"/>
      <c r="G281" s="38"/>
      <c r="H281" s="38"/>
      <c r="I281" s="38"/>
      <c r="J281" s="38"/>
      <c r="K281" s="38"/>
      <c r="L281" s="38"/>
      <c r="M281" s="38"/>
      <c r="N281" s="38"/>
      <c r="O281" s="38"/>
      <c r="P281" s="38"/>
      <c r="Q281" s="38"/>
      <c r="R281" s="38"/>
      <c r="S281" s="38"/>
    </row>
    <row r="282" spans="1:19" x14ac:dyDescent="0.25">
      <c r="A282" s="38"/>
      <c r="B282" s="38"/>
      <c r="C282" s="38"/>
      <c r="D282" s="38"/>
      <c r="E282" s="38"/>
      <c r="F282" s="38"/>
      <c r="G282" s="38"/>
      <c r="H282" s="38"/>
      <c r="I282" s="38"/>
      <c r="J282" s="38"/>
      <c r="K282" s="38"/>
      <c r="L282" s="38"/>
      <c r="M282" s="38"/>
      <c r="N282" s="38"/>
      <c r="O282" s="38"/>
      <c r="P282" s="38"/>
      <c r="Q282" s="38"/>
      <c r="R282" s="38"/>
      <c r="S282" s="38"/>
    </row>
    <row r="283" spans="1:19" x14ac:dyDescent="0.25">
      <c r="A283" s="38"/>
      <c r="B283" s="38"/>
      <c r="C283" s="38"/>
      <c r="D283" s="38"/>
      <c r="E283" s="38"/>
      <c r="F283" s="38"/>
      <c r="G283" s="38"/>
      <c r="H283" s="38"/>
      <c r="I283" s="38"/>
      <c r="J283" s="38"/>
      <c r="K283" s="38"/>
      <c r="L283" s="38"/>
      <c r="M283" s="38"/>
      <c r="N283" s="38"/>
      <c r="O283" s="38"/>
      <c r="P283" s="38"/>
      <c r="Q283" s="38"/>
      <c r="R283" s="38"/>
      <c r="S283" s="38"/>
    </row>
    <row r="284" spans="1:19" x14ac:dyDescent="0.25">
      <c r="A284" s="38"/>
      <c r="B284" s="38"/>
      <c r="C284" s="38"/>
      <c r="D284" s="38"/>
      <c r="E284" s="38"/>
      <c r="F284" s="38"/>
      <c r="G284" s="38"/>
      <c r="H284" s="38"/>
      <c r="I284" s="38"/>
      <c r="J284" s="38"/>
      <c r="K284" s="38"/>
      <c r="L284" s="38"/>
      <c r="M284" s="38"/>
      <c r="N284" s="38"/>
      <c r="O284" s="38"/>
      <c r="P284" s="38"/>
      <c r="Q284" s="38"/>
      <c r="R284" s="38"/>
      <c r="S284" s="38"/>
    </row>
    <row r="285" spans="1:19" x14ac:dyDescent="0.25">
      <c r="A285" s="38"/>
      <c r="B285" s="38"/>
      <c r="C285" s="38"/>
      <c r="D285" s="38"/>
      <c r="E285" s="38"/>
      <c r="F285" s="38"/>
      <c r="G285" s="38"/>
      <c r="H285" s="38"/>
      <c r="I285" s="38"/>
      <c r="J285" s="38"/>
      <c r="K285" s="38"/>
      <c r="L285" s="38"/>
      <c r="M285" s="38"/>
      <c r="N285" s="38"/>
      <c r="O285" s="38"/>
      <c r="P285" s="38"/>
      <c r="Q285" s="38"/>
      <c r="R285" s="38"/>
      <c r="S285" s="38"/>
    </row>
    <row r="286" spans="1:19" x14ac:dyDescent="0.25">
      <c r="A286" s="38"/>
      <c r="B286" s="38"/>
      <c r="C286" s="38"/>
      <c r="D286" s="38"/>
      <c r="E286" s="38"/>
      <c r="F286" s="38"/>
      <c r="G286" s="38"/>
      <c r="H286" s="38"/>
      <c r="I286" s="38"/>
      <c r="J286" s="38"/>
      <c r="K286" s="38"/>
      <c r="L286" s="38"/>
      <c r="M286" s="38"/>
      <c r="N286" s="38"/>
      <c r="O286" s="38"/>
      <c r="P286" s="38"/>
      <c r="Q286" s="38"/>
      <c r="R286" s="38"/>
      <c r="S286" s="38"/>
    </row>
    <row r="287" spans="1:19" x14ac:dyDescent="0.25">
      <c r="A287" s="38"/>
      <c r="B287" s="38"/>
      <c r="C287" s="38"/>
      <c r="D287" s="38"/>
      <c r="E287" s="38"/>
      <c r="F287" s="38"/>
      <c r="G287" s="38"/>
      <c r="H287" s="38"/>
      <c r="I287" s="38"/>
      <c r="J287" s="38"/>
      <c r="K287" s="38"/>
      <c r="L287" s="38"/>
      <c r="M287" s="38"/>
      <c r="N287" s="38"/>
      <c r="O287" s="38"/>
      <c r="P287" s="38"/>
      <c r="Q287" s="38"/>
      <c r="R287" s="38"/>
      <c r="S287" s="38"/>
    </row>
    <row r="288" spans="1:19" x14ac:dyDescent="0.25">
      <c r="A288" s="38"/>
      <c r="B288" s="38"/>
      <c r="C288" s="38"/>
      <c r="D288" s="38"/>
      <c r="E288" s="38"/>
      <c r="F288" s="38"/>
      <c r="G288" s="38"/>
      <c r="H288" s="38"/>
      <c r="I288" s="38"/>
      <c r="J288" s="38"/>
      <c r="K288" s="38"/>
      <c r="L288" s="38"/>
      <c r="M288" s="38"/>
      <c r="N288" s="38"/>
      <c r="O288" s="38"/>
      <c r="P288" s="38"/>
      <c r="Q288" s="38"/>
      <c r="R288" s="38"/>
      <c r="S288" s="38"/>
    </row>
    <row r="289" spans="1:19" x14ac:dyDescent="0.25">
      <c r="A289" s="38"/>
      <c r="B289" s="38"/>
      <c r="C289" s="38"/>
      <c r="D289" s="38"/>
      <c r="E289" s="38"/>
      <c r="F289" s="38"/>
      <c r="G289" s="38"/>
      <c r="H289" s="38"/>
      <c r="I289" s="38"/>
      <c r="J289" s="38"/>
      <c r="K289" s="38"/>
      <c r="L289" s="38"/>
      <c r="M289" s="38"/>
      <c r="N289" s="38"/>
      <c r="O289" s="38"/>
      <c r="P289" s="38"/>
      <c r="Q289" s="38"/>
      <c r="R289" s="38"/>
      <c r="S289" s="38"/>
    </row>
    <row r="290" spans="1:19" x14ac:dyDescent="0.25">
      <c r="A290" s="38"/>
      <c r="B290" s="38"/>
      <c r="C290" s="38"/>
      <c r="D290" s="38"/>
      <c r="E290" s="38"/>
      <c r="F290" s="38"/>
      <c r="G290" s="38"/>
      <c r="H290" s="38"/>
      <c r="I290" s="38"/>
      <c r="J290" s="38"/>
      <c r="K290" s="38"/>
      <c r="L290" s="38"/>
      <c r="M290" s="38"/>
      <c r="N290" s="38"/>
      <c r="O290" s="38"/>
      <c r="P290" s="38"/>
      <c r="Q290" s="38"/>
      <c r="R290" s="38"/>
      <c r="S290" s="38"/>
    </row>
    <row r="291" spans="1:19" x14ac:dyDescent="0.25">
      <c r="A291" s="38"/>
      <c r="B291" s="38"/>
      <c r="C291" s="38"/>
      <c r="D291" s="38"/>
      <c r="E291" s="38"/>
      <c r="F291" s="38"/>
      <c r="G291" s="38"/>
      <c r="H291" s="38"/>
      <c r="I291" s="38"/>
      <c r="J291" s="38"/>
      <c r="K291" s="38"/>
      <c r="L291" s="38"/>
      <c r="M291" s="38"/>
      <c r="N291" s="38"/>
      <c r="O291" s="38"/>
      <c r="P291" s="38"/>
      <c r="Q291" s="38"/>
      <c r="R291" s="38"/>
      <c r="S291" s="38"/>
    </row>
    <row r="292" spans="1:19" x14ac:dyDescent="0.25">
      <c r="A292" s="38"/>
      <c r="B292" s="38"/>
      <c r="C292" s="38"/>
      <c r="D292" s="38"/>
      <c r="E292" s="38"/>
      <c r="F292" s="38"/>
      <c r="G292" s="38"/>
      <c r="H292" s="38"/>
      <c r="I292" s="38"/>
      <c r="J292" s="38"/>
      <c r="K292" s="38"/>
      <c r="L292" s="38"/>
      <c r="M292" s="38"/>
      <c r="N292" s="38"/>
      <c r="O292" s="38"/>
      <c r="P292" s="38"/>
      <c r="Q292" s="38"/>
      <c r="R292" s="38"/>
      <c r="S292" s="38"/>
    </row>
    <row r="293" spans="1:19" x14ac:dyDescent="0.25">
      <c r="A293" s="38"/>
      <c r="B293" s="38"/>
      <c r="C293" s="38"/>
      <c r="D293" s="38"/>
      <c r="E293" s="38"/>
      <c r="F293" s="38"/>
      <c r="G293" s="38"/>
      <c r="H293" s="38"/>
      <c r="I293" s="38"/>
      <c r="J293" s="38"/>
      <c r="K293" s="38"/>
      <c r="L293" s="38"/>
      <c r="M293" s="38"/>
      <c r="N293" s="38"/>
      <c r="O293" s="38"/>
      <c r="P293" s="38"/>
      <c r="Q293" s="38"/>
      <c r="R293" s="38"/>
      <c r="S293" s="38"/>
    </row>
    <row r="294" spans="1:19" x14ac:dyDescent="0.25">
      <c r="A294" s="38"/>
      <c r="B294" s="38"/>
      <c r="C294" s="38"/>
      <c r="D294" s="38"/>
      <c r="E294" s="38"/>
      <c r="F294" s="38"/>
      <c r="G294" s="38"/>
      <c r="H294" s="38"/>
      <c r="I294" s="38"/>
      <c r="J294" s="38"/>
      <c r="K294" s="38"/>
      <c r="L294" s="38"/>
      <c r="M294" s="38"/>
      <c r="N294" s="38"/>
      <c r="O294" s="38"/>
      <c r="P294" s="38"/>
      <c r="Q294" s="38"/>
      <c r="R294" s="38"/>
      <c r="S294" s="38"/>
    </row>
    <row r="295" spans="1:19" x14ac:dyDescent="0.25">
      <c r="A295" s="38"/>
      <c r="B295" s="38"/>
      <c r="C295" s="38"/>
      <c r="D295" s="38"/>
      <c r="E295" s="38"/>
      <c r="F295" s="38"/>
      <c r="G295" s="38"/>
      <c r="H295" s="38"/>
      <c r="I295" s="38"/>
      <c r="J295" s="38"/>
      <c r="K295" s="38"/>
      <c r="L295" s="38"/>
      <c r="M295" s="38"/>
      <c r="N295" s="38"/>
      <c r="O295" s="38"/>
      <c r="P295" s="38"/>
      <c r="Q295" s="38"/>
      <c r="R295" s="38"/>
      <c r="S295" s="38"/>
    </row>
    <row r="296" spans="1:19" x14ac:dyDescent="0.25">
      <c r="A296" s="38"/>
      <c r="B296" s="38"/>
      <c r="C296" s="38"/>
      <c r="D296" s="38"/>
      <c r="E296" s="38"/>
      <c r="F296" s="38"/>
      <c r="G296" s="38"/>
      <c r="H296" s="38"/>
      <c r="I296" s="38"/>
      <c r="J296" s="38"/>
      <c r="K296" s="38"/>
      <c r="L296" s="38"/>
      <c r="M296" s="38"/>
      <c r="N296" s="38"/>
      <c r="O296" s="38"/>
      <c r="P296" s="38"/>
      <c r="Q296" s="38"/>
      <c r="R296" s="38"/>
      <c r="S296" s="38"/>
    </row>
    <row r="297" spans="1:19" x14ac:dyDescent="0.25">
      <c r="A297" s="38"/>
      <c r="B297" s="38"/>
      <c r="C297" s="38"/>
      <c r="D297" s="38"/>
      <c r="E297" s="38"/>
      <c r="F297" s="38"/>
      <c r="G297" s="38"/>
      <c r="H297" s="38"/>
      <c r="I297" s="38"/>
      <c r="J297" s="38"/>
      <c r="K297" s="38"/>
      <c r="L297" s="38"/>
      <c r="M297" s="38"/>
      <c r="N297" s="38"/>
      <c r="O297" s="38"/>
      <c r="P297" s="38"/>
      <c r="Q297" s="38"/>
      <c r="R297" s="38"/>
      <c r="S297" s="38"/>
    </row>
    <row r="298" spans="1:19" x14ac:dyDescent="0.25">
      <c r="A298" s="38"/>
      <c r="B298" s="38"/>
      <c r="C298" s="38"/>
      <c r="D298" s="38"/>
      <c r="E298" s="38"/>
      <c r="F298" s="38"/>
      <c r="G298" s="38"/>
      <c r="H298" s="38"/>
      <c r="I298" s="38"/>
      <c r="J298" s="38"/>
      <c r="K298" s="38"/>
      <c r="L298" s="38"/>
      <c r="M298" s="38"/>
      <c r="N298" s="38"/>
      <c r="O298" s="38"/>
      <c r="P298" s="38"/>
      <c r="Q298" s="38"/>
      <c r="R298" s="38"/>
      <c r="S298" s="38"/>
    </row>
    <row r="299" spans="1:19" x14ac:dyDescent="0.25">
      <c r="A299" s="38"/>
      <c r="B299" s="38"/>
      <c r="C299" s="38"/>
      <c r="D299" s="38"/>
      <c r="E299" s="38"/>
      <c r="F299" s="38"/>
      <c r="G299" s="38"/>
      <c r="H299" s="38"/>
      <c r="I299" s="38"/>
      <c r="J299" s="38"/>
      <c r="K299" s="38"/>
      <c r="L299" s="38"/>
      <c r="M299" s="38"/>
      <c r="N299" s="38"/>
      <c r="O299" s="38"/>
      <c r="P299" s="38"/>
      <c r="Q299" s="38"/>
      <c r="R299" s="38"/>
      <c r="S299" s="38"/>
    </row>
  </sheetData>
  <pageMargins left="0.19685039370078741" right="0.19685039370078741" top="0.39370078740157483" bottom="0.39370078740157483" header="0.11811023622047245" footer="0.11811023622047245"/>
  <pageSetup paperSize="9"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ABC21-C88A-49F7-AB90-3A622167D83D}">
  <sheetPr codeName="Blad5"/>
  <dimension ref="A1:AC156"/>
  <sheetViews>
    <sheetView zoomScaleNormal="100" zoomScaleSheetLayoutView="90" workbookViewId="0">
      <pane xSplit="8" ySplit="9" topLeftCell="I35" activePane="bottomRight" state="frozen"/>
      <selection pane="topRight" activeCell="I1" sqref="I1"/>
      <selection pane="bottomLeft" activeCell="A10" sqref="A10"/>
      <selection pane="bottomRight" activeCell="H51" sqref="H51"/>
    </sheetView>
  </sheetViews>
  <sheetFormatPr defaultColWidth="9.109375" defaultRowHeight="10.199999999999999" outlineLevelRow="1" outlineLevelCol="1" x14ac:dyDescent="0.2"/>
  <cols>
    <col min="1" max="1" width="14.5546875" style="38" hidden="1" customWidth="1" outlineLevel="1"/>
    <col min="2" max="2" width="47.5546875" style="38" hidden="1" customWidth="1" outlineLevel="1"/>
    <col min="3" max="5" width="9.88671875" style="38" hidden="1" customWidth="1" outlineLevel="1"/>
    <col min="6" max="6" width="18.5546875" style="38" hidden="1" customWidth="1" outlineLevel="1"/>
    <col min="7" max="7" width="2.6640625" style="38" customWidth="1" collapsed="1"/>
    <col min="8" max="8" width="84.6640625" style="38" customWidth="1"/>
    <col min="9" max="9" width="2.6640625" style="38" customWidth="1"/>
    <col min="10" max="10" width="10.6640625" style="38" customWidth="1" outlineLevel="1"/>
    <col min="11" max="11" width="4.6640625" style="38" customWidth="1" outlineLevel="1"/>
    <col min="12" max="12" width="12.6640625" style="38" customWidth="1" outlineLevel="1"/>
    <col min="13" max="13" width="15.6640625" style="38" customWidth="1" outlineLevel="1"/>
    <col min="14" max="14" width="30.6640625" style="38" customWidth="1" outlineLevel="1"/>
    <col min="15" max="15" width="2.6640625" style="38" customWidth="1"/>
    <col min="16" max="16" width="10.6640625" style="38" customWidth="1" outlineLevel="1"/>
    <col min="17" max="17" width="4.6640625" style="38" customWidth="1" outlineLevel="1"/>
    <col min="18" max="18" width="12.6640625" style="38" customWidth="1" outlineLevel="1"/>
    <col min="19" max="19" width="15.6640625" style="38" customWidth="1" outlineLevel="1"/>
    <col min="20" max="20" width="30.6640625" style="38" customWidth="1" outlineLevel="1"/>
    <col min="21" max="21" width="2.6640625" style="38" customWidth="1"/>
    <col min="22" max="22" width="10.6640625" style="38" customWidth="1" outlineLevel="1"/>
    <col min="23" max="23" width="4.6640625" style="38" customWidth="1" outlineLevel="1"/>
    <col min="24" max="24" width="12.6640625" style="38" customWidth="1" outlineLevel="1"/>
    <col min="25" max="25" width="15.6640625" style="38" customWidth="1" outlineLevel="1"/>
    <col min="26" max="26" width="30.6640625" style="38" customWidth="1" outlineLevel="1"/>
    <col min="27" max="27" width="2.6640625" style="38" customWidth="1"/>
    <col min="28" max="16384" width="9.109375" style="38"/>
  </cols>
  <sheetData>
    <row r="1" spans="1:29" s="39" customFormat="1" ht="13.8" x14ac:dyDescent="0.25">
      <c r="A1" s="127" t="s">
        <v>43</v>
      </c>
      <c r="B1" s="128"/>
      <c r="C1" s="129"/>
      <c r="D1" s="130"/>
      <c r="E1" s="131"/>
      <c r="F1" s="132"/>
      <c r="G1" s="133" t="s">
        <v>44</v>
      </c>
      <c r="H1" s="134"/>
      <c r="I1" s="135"/>
      <c r="J1" s="136" t="s">
        <v>45</v>
      </c>
      <c r="K1" s="137"/>
      <c r="L1" s="45"/>
      <c r="M1" s="138"/>
      <c r="N1" s="139"/>
      <c r="O1" s="135"/>
      <c r="P1" s="136" t="s">
        <v>45</v>
      </c>
      <c r="Q1" s="137"/>
      <c r="R1" s="45"/>
      <c r="S1" s="138"/>
      <c r="T1" s="139"/>
      <c r="U1" s="140"/>
      <c r="V1" s="136" t="s">
        <v>45</v>
      </c>
      <c r="W1" s="137"/>
      <c r="X1" s="45"/>
      <c r="Y1" s="138"/>
      <c r="Z1" s="139"/>
      <c r="AA1" s="141"/>
      <c r="AB1" s="141"/>
      <c r="AC1" s="141"/>
    </row>
    <row r="2" spans="1:29" s="39" customFormat="1" ht="13.8" x14ac:dyDescent="0.25">
      <c r="A2" s="142"/>
      <c r="B2" s="143"/>
      <c r="C2" s="144"/>
      <c r="D2" s="145"/>
      <c r="E2" s="146"/>
      <c r="F2" s="147"/>
      <c r="G2" s="148"/>
      <c r="H2" s="149" t="s">
        <v>48</v>
      </c>
      <c r="I2" s="135"/>
      <c r="J2" s="150" t="s">
        <v>47</v>
      </c>
      <c r="K2" s="38"/>
      <c r="L2" s="93" t="s">
        <v>323</v>
      </c>
      <c r="M2" s="93"/>
      <c r="N2" s="151"/>
      <c r="O2" s="135"/>
      <c r="P2" s="150" t="s">
        <v>47</v>
      </c>
      <c r="Q2" s="38"/>
      <c r="R2" s="93" t="s">
        <v>323</v>
      </c>
      <c r="S2" s="93"/>
      <c r="T2" s="151"/>
      <c r="U2" s="140"/>
      <c r="V2" s="150" t="s">
        <v>47</v>
      </c>
      <c r="W2" s="38"/>
      <c r="X2" s="93" t="s">
        <v>323</v>
      </c>
      <c r="Y2" s="93"/>
      <c r="Z2" s="151"/>
      <c r="AA2" s="141"/>
      <c r="AB2" s="141"/>
      <c r="AC2" s="141"/>
    </row>
    <row r="3" spans="1:29" s="39" customFormat="1" ht="13.8" x14ac:dyDescent="0.25">
      <c r="A3" s="142"/>
      <c r="B3" s="143"/>
      <c r="C3" s="144"/>
      <c r="D3" s="145"/>
      <c r="E3" s="146"/>
      <c r="F3" s="147"/>
      <c r="G3" s="148"/>
      <c r="H3" s="149" t="s">
        <v>371</v>
      </c>
      <c r="I3" s="135"/>
      <c r="J3" s="150" t="s">
        <v>369</v>
      </c>
      <c r="K3" s="152"/>
      <c r="L3" s="94" t="s">
        <v>323</v>
      </c>
      <c r="M3" s="94"/>
      <c r="N3" s="151"/>
      <c r="O3" s="135"/>
      <c r="P3" s="150" t="s">
        <v>369</v>
      </c>
      <c r="Q3" s="38"/>
      <c r="R3" s="94" t="s">
        <v>323</v>
      </c>
      <c r="S3" s="94"/>
      <c r="T3" s="151"/>
      <c r="U3" s="140"/>
      <c r="V3" s="150" t="s">
        <v>369</v>
      </c>
      <c r="W3" s="38"/>
      <c r="X3" s="94" t="s">
        <v>323</v>
      </c>
      <c r="Y3" s="94"/>
      <c r="Z3" s="151"/>
      <c r="AA3" s="141"/>
      <c r="AB3" s="141"/>
      <c r="AC3" s="141"/>
    </row>
    <row r="4" spans="1:29" s="39" customFormat="1" ht="13.8" x14ac:dyDescent="0.25">
      <c r="A4" s="153"/>
      <c r="B4" s="95"/>
      <c r="C4" s="154"/>
      <c r="D4" s="155"/>
      <c r="E4" s="156"/>
      <c r="F4" s="157"/>
      <c r="G4" s="148"/>
      <c r="H4" s="149" t="s">
        <v>46</v>
      </c>
      <c r="I4" s="135"/>
      <c r="J4" s="150" t="s">
        <v>34</v>
      </c>
      <c r="K4" s="158"/>
      <c r="L4" s="94" t="s">
        <v>323</v>
      </c>
      <c r="M4" s="94"/>
      <c r="N4" s="151"/>
      <c r="O4" s="135"/>
      <c r="P4" s="150" t="s">
        <v>34</v>
      </c>
      <c r="Q4" s="38"/>
      <c r="R4" s="94" t="s">
        <v>323</v>
      </c>
      <c r="S4" s="94"/>
      <c r="T4" s="151"/>
      <c r="U4" s="140"/>
      <c r="V4" s="150" t="s">
        <v>34</v>
      </c>
      <c r="W4" s="38"/>
      <c r="X4" s="94" t="s">
        <v>323</v>
      </c>
      <c r="Y4" s="94"/>
      <c r="Z4" s="151"/>
      <c r="AA4" s="141"/>
      <c r="AB4" s="141"/>
      <c r="AC4" s="141"/>
    </row>
    <row r="5" spans="1:29" s="39" customFormat="1" ht="13.8" x14ac:dyDescent="0.25">
      <c r="A5" s="153"/>
      <c r="B5" s="95"/>
      <c r="C5" s="154"/>
      <c r="D5" s="155"/>
      <c r="E5" s="156"/>
      <c r="F5" s="159"/>
      <c r="G5" s="148"/>
      <c r="H5" s="149" t="s">
        <v>49</v>
      </c>
      <c r="I5" s="135"/>
      <c r="J5" s="150" t="s">
        <v>51</v>
      </c>
      <c r="K5" s="141"/>
      <c r="L5" s="95" t="s">
        <v>323</v>
      </c>
      <c r="M5" s="95"/>
      <c r="N5" s="151"/>
      <c r="O5" s="135"/>
      <c r="P5" s="150" t="s">
        <v>51</v>
      </c>
      <c r="Q5" s="141"/>
      <c r="R5" s="95" t="s">
        <v>323</v>
      </c>
      <c r="S5" s="95"/>
      <c r="T5" s="151"/>
      <c r="U5" s="140"/>
      <c r="V5" s="150" t="s">
        <v>51</v>
      </c>
      <c r="W5" s="141"/>
      <c r="X5" s="95" t="s">
        <v>323</v>
      </c>
      <c r="Y5" s="95"/>
      <c r="Z5" s="151"/>
      <c r="AA5" s="141"/>
      <c r="AB5" s="141"/>
      <c r="AC5" s="141"/>
    </row>
    <row r="6" spans="1:29" s="39" customFormat="1" ht="13.8" x14ac:dyDescent="0.25">
      <c r="A6" s="160"/>
      <c r="B6" s="161"/>
      <c r="C6" s="162"/>
      <c r="D6" s="75"/>
      <c r="E6" s="163"/>
      <c r="F6" s="164"/>
      <c r="G6" s="148"/>
      <c r="H6" s="149" t="s">
        <v>33</v>
      </c>
      <c r="I6" s="135"/>
      <c r="J6" s="150" t="s">
        <v>370</v>
      </c>
      <c r="K6" s="141"/>
      <c r="L6" s="93" t="s">
        <v>323</v>
      </c>
      <c r="M6" s="93"/>
      <c r="N6" s="151"/>
      <c r="O6" s="135"/>
      <c r="P6" s="150" t="s">
        <v>370</v>
      </c>
      <c r="Q6" s="141"/>
      <c r="R6" s="93" t="s">
        <v>323</v>
      </c>
      <c r="S6" s="93"/>
      <c r="T6" s="151"/>
      <c r="U6" s="140"/>
      <c r="V6" s="150" t="s">
        <v>370</v>
      </c>
      <c r="W6" s="141"/>
      <c r="X6" s="93" t="s">
        <v>323</v>
      </c>
      <c r="Y6" s="93"/>
      <c r="Z6" s="151"/>
      <c r="AA6" s="141"/>
      <c r="AB6" s="141"/>
      <c r="AC6" s="141"/>
    </row>
    <row r="7" spans="1:29" s="39" customFormat="1" ht="13.8" x14ac:dyDescent="0.25">
      <c r="A7" s="165"/>
      <c r="B7" s="38"/>
      <c r="C7" s="38"/>
      <c r="D7" s="38"/>
      <c r="E7" s="38"/>
      <c r="F7" s="38"/>
      <c r="G7" s="166"/>
      <c r="H7" s="167"/>
      <c r="I7" s="168"/>
      <c r="J7" s="169"/>
      <c r="K7" s="74"/>
      <c r="L7" s="75"/>
      <c r="M7" s="76"/>
      <c r="N7" s="170"/>
      <c r="O7" s="168"/>
      <c r="P7" s="169"/>
      <c r="Q7" s="74"/>
      <c r="R7" s="75"/>
      <c r="S7" s="76"/>
      <c r="T7" s="170"/>
      <c r="U7" s="171"/>
      <c r="V7" s="169"/>
      <c r="W7" s="74"/>
      <c r="X7" s="75"/>
      <c r="Y7" s="76"/>
      <c r="Z7" s="170"/>
      <c r="AA7" s="38"/>
      <c r="AB7" s="38"/>
      <c r="AC7" s="38"/>
    </row>
    <row r="8" spans="1:29" s="39" customFormat="1" ht="11.25" customHeight="1" x14ac:dyDescent="0.25">
      <c r="A8" s="96" t="s">
        <v>52</v>
      </c>
      <c r="B8" s="96" t="s">
        <v>37</v>
      </c>
      <c r="C8" s="69" t="s">
        <v>320</v>
      </c>
      <c r="D8" s="97" t="s">
        <v>321</v>
      </c>
      <c r="E8" s="70" t="s">
        <v>322</v>
      </c>
      <c r="F8" s="123" t="s">
        <v>38</v>
      </c>
      <c r="G8" s="235"/>
      <c r="H8" s="236"/>
      <c r="I8" s="168"/>
      <c r="J8" s="54" t="s">
        <v>320</v>
      </c>
      <c r="K8" s="172" t="s">
        <v>321</v>
      </c>
      <c r="L8" s="55" t="s">
        <v>322</v>
      </c>
      <c r="M8" s="56" t="s">
        <v>38</v>
      </c>
      <c r="N8" s="173" t="s">
        <v>50</v>
      </c>
      <c r="O8" s="168"/>
      <c r="P8" s="54" t="s">
        <v>320</v>
      </c>
      <c r="Q8" s="172" t="s">
        <v>321</v>
      </c>
      <c r="R8" s="55" t="s">
        <v>322</v>
      </c>
      <c r="S8" s="56" t="s">
        <v>38</v>
      </c>
      <c r="T8" s="173" t="s">
        <v>50</v>
      </c>
      <c r="U8" s="171"/>
      <c r="V8" s="54" t="s">
        <v>320</v>
      </c>
      <c r="W8" s="172" t="s">
        <v>321</v>
      </c>
      <c r="X8" s="55" t="s">
        <v>322</v>
      </c>
      <c r="Y8" s="56" t="s">
        <v>38</v>
      </c>
      <c r="Z8" s="173" t="s">
        <v>50</v>
      </c>
      <c r="AA8" s="38"/>
      <c r="AB8" s="38"/>
      <c r="AC8" s="38"/>
    </row>
    <row r="9" spans="1:29" s="39" customFormat="1" ht="13.8" x14ac:dyDescent="0.25">
      <c r="A9" s="46"/>
      <c r="B9" s="46"/>
      <c r="C9" s="47"/>
      <c r="D9" s="47"/>
      <c r="E9" s="47"/>
      <c r="F9" s="174"/>
      <c r="G9" s="237"/>
      <c r="H9" s="238"/>
      <c r="I9" s="168"/>
      <c r="J9" s="46"/>
      <c r="K9" s="47"/>
      <c r="L9" s="47"/>
      <c r="M9" s="48"/>
      <c r="N9" s="175"/>
      <c r="O9" s="168"/>
      <c r="P9" s="46"/>
      <c r="Q9" s="47"/>
      <c r="R9" s="47"/>
      <c r="S9" s="48"/>
      <c r="T9" s="175"/>
      <c r="U9" s="171"/>
      <c r="V9" s="46"/>
      <c r="W9" s="47"/>
      <c r="X9" s="47"/>
      <c r="Y9" s="48"/>
      <c r="Z9" s="175"/>
      <c r="AA9" s="38"/>
      <c r="AB9" s="38"/>
      <c r="AC9" s="38"/>
    </row>
    <row r="10" spans="1:29" s="39" customFormat="1" ht="22.95" customHeight="1" x14ac:dyDescent="0.25">
      <c r="A10" s="88"/>
      <c r="B10" s="88"/>
      <c r="C10" s="176"/>
      <c r="D10" s="177"/>
      <c r="E10" s="176"/>
      <c r="F10" s="178"/>
      <c r="G10" s="179"/>
      <c r="H10" s="180"/>
      <c r="I10" s="168"/>
      <c r="J10" s="239" t="s">
        <v>404</v>
      </c>
      <c r="K10" s="240"/>
      <c r="L10" s="240"/>
      <c r="M10" s="240"/>
      <c r="N10" s="241"/>
      <c r="O10" s="168"/>
      <c r="P10" s="239" t="s">
        <v>404</v>
      </c>
      <c r="Q10" s="240"/>
      <c r="R10" s="240"/>
      <c r="S10" s="240"/>
      <c r="T10" s="241"/>
      <c r="U10" s="171"/>
      <c r="V10" s="239" t="s">
        <v>404</v>
      </c>
      <c r="W10" s="240"/>
      <c r="X10" s="240"/>
      <c r="Y10" s="240"/>
      <c r="Z10" s="241"/>
      <c r="AA10" s="38"/>
      <c r="AB10" s="38"/>
      <c r="AC10" s="38"/>
    </row>
    <row r="11" spans="1:29" s="39" customFormat="1" ht="13.8" x14ac:dyDescent="0.25">
      <c r="A11" s="126"/>
      <c r="B11" s="126"/>
      <c r="C11" s="181"/>
      <c r="D11" s="182"/>
      <c r="E11" s="181"/>
      <c r="F11" s="183"/>
      <c r="G11" s="184" t="s">
        <v>53</v>
      </c>
      <c r="H11" s="185" t="s">
        <v>54</v>
      </c>
      <c r="I11" s="168"/>
      <c r="J11" s="62"/>
      <c r="K11" s="186"/>
      <c r="L11" s="64"/>
      <c r="M11" s="50"/>
      <c r="N11" s="57"/>
      <c r="O11" s="168"/>
      <c r="P11" s="60"/>
      <c r="Q11" s="49"/>
      <c r="R11" s="61"/>
      <c r="S11" s="50"/>
      <c r="T11" s="187"/>
      <c r="U11" s="171"/>
      <c r="V11" s="60"/>
      <c r="W11" s="49"/>
      <c r="X11" s="61"/>
      <c r="Y11" s="50"/>
      <c r="Z11" s="187"/>
      <c r="AA11" s="38"/>
      <c r="AB11" s="38"/>
      <c r="AC11" s="38"/>
    </row>
    <row r="12" spans="1:29" s="39" customFormat="1" ht="13.8" x14ac:dyDescent="0.25">
      <c r="A12" s="89"/>
      <c r="B12" s="89"/>
      <c r="C12" s="188"/>
      <c r="D12" s="189"/>
      <c r="E12" s="188"/>
      <c r="F12" s="190"/>
      <c r="G12" s="106">
        <v>1</v>
      </c>
      <c r="H12" s="51"/>
      <c r="I12" s="168"/>
      <c r="J12" s="63"/>
      <c r="K12" s="191"/>
      <c r="L12" s="65"/>
      <c r="M12" s="111" t="s">
        <v>325</v>
      </c>
      <c r="N12" s="58" t="s">
        <v>329</v>
      </c>
      <c r="O12" s="168"/>
      <c r="P12" s="63"/>
      <c r="Q12" s="191"/>
      <c r="R12" s="65"/>
      <c r="S12" s="111" t="s">
        <v>325</v>
      </c>
      <c r="T12" s="58" t="s">
        <v>329</v>
      </c>
      <c r="U12" s="171"/>
      <c r="V12" s="63"/>
      <c r="W12" s="191"/>
      <c r="X12" s="65"/>
      <c r="Y12" s="111" t="s">
        <v>325</v>
      </c>
      <c r="Z12" s="58" t="s">
        <v>329</v>
      </c>
      <c r="AA12" s="38"/>
      <c r="AB12" s="38"/>
      <c r="AC12" s="38"/>
    </row>
    <row r="13" spans="1:29" s="39" customFormat="1" ht="13.8" x14ac:dyDescent="0.25">
      <c r="A13" s="89"/>
      <c r="B13" s="89"/>
      <c r="C13" s="188"/>
      <c r="D13" s="189"/>
      <c r="E13" s="188"/>
      <c r="F13" s="190"/>
      <c r="G13" s="106">
        <v>2</v>
      </c>
      <c r="H13" s="192"/>
      <c r="I13" s="168"/>
      <c r="J13" s="63"/>
      <c r="K13" s="191"/>
      <c r="L13" s="65"/>
      <c r="M13" s="111" t="s">
        <v>40</v>
      </c>
      <c r="N13" s="58" t="s">
        <v>329</v>
      </c>
      <c r="O13" s="168"/>
      <c r="P13" s="63"/>
      <c r="Q13" s="191"/>
      <c r="R13" s="65"/>
      <c r="S13" s="111" t="s">
        <v>40</v>
      </c>
      <c r="T13" s="58" t="s">
        <v>329</v>
      </c>
      <c r="U13" s="171"/>
      <c r="V13" s="63"/>
      <c r="W13" s="191"/>
      <c r="X13" s="65"/>
      <c r="Y13" s="111" t="s">
        <v>40</v>
      </c>
      <c r="Z13" s="58" t="s">
        <v>329</v>
      </c>
      <c r="AA13" s="38"/>
      <c r="AB13" s="38"/>
      <c r="AC13" s="38"/>
    </row>
    <row r="14" spans="1:29" s="39" customFormat="1" ht="13.8" x14ac:dyDescent="0.25">
      <c r="A14" s="89"/>
      <c r="B14" s="89"/>
      <c r="C14" s="188"/>
      <c r="D14" s="189"/>
      <c r="E14" s="188"/>
      <c r="F14" s="190"/>
      <c r="G14" s="106">
        <v>3</v>
      </c>
      <c r="H14" s="192"/>
      <c r="I14" s="168"/>
      <c r="J14" s="63"/>
      <c r="K14" s="191"/>
      <c r="L14" s="65"/>
      <c r="M14" s="111" t="s">
        <v>115</v>
      </c>
      <c r="N14" s="58" t="s">
        <v>329</v>
      </c>
      <c r="O14" s="168"/>
      <c r="P14" s="63"/>
      <c r="Q14" s="191"/>
      <c r="R14" s="65"/>
      <c r="S14" s="111" t="s">
        <v>115</v>
      </c>
      <c r="T14" s="58" t="s">
        <v>329</v>
      </c>
      <c r="U14" s="171"/>
      <c r="V14" s="63"/>
      <c r="W14" s="191"/>
      <c r="X14" s="65"/>
      <c r="Y14" s="111" t="s">
        <v>115</v>
      </c>
      <c r="Z14" s="58" t="s">
        <v>329</v>
      </c>
      <c r="AA14" s="38"/>
      <c r="AB14" s="38"/>
      <c r="AC14" s="38"/>
    </row>
    <row r="15" spans="1:29" s="39" customFormat="1" ht="13.8" x14ac:dyDescent="0.25">
      <c r="A15" s="89"/>
      <c r="B15" s="89"/>
      <c r="C15" s="188"/>
      <c r="D15" s="189"/>
      <c r="E15" s="188"/>
      <c r="F15" s="190"/>
      <c r="G15" s="106">
        <v>4</v>
      </c>
      <c r="H15" s="192"/>
      <c r="I15" s="168"/>
      <c r="J15" s="63"/>
      <c r="K15" s="191"/>
      <c r="L15" s="65"/>
      <c r="M15" s="111" t="s">
        <v>41</v>
      </c>
      <c r="N15" s="58" t="s">
        <v>329</v>
      </c>
      <c r="O15" s="168"/>
      <c r="P15" s="63"/>
      <c r="Q15" s="191"/>
      <c r="R15" s="65"/>
      <c r="S15" s="111" t="s">
        <v>41</v>
      </c>
      <c r="T15" s="58" t="s">
        <v>329</v>
      </c>
      <c r="U15" s="171"/>
      <c r="V15" s="63"/>
      <c r="W15" s="191"/>
      <c r="X15" s="65"/>
      <c r="Y15" s="111" t="s">
        <v>41</v>
      </c>
      <c r="Z15" s="58" t="s">
        <v>329</v>
      </c>
      <c r="AA15" s="38"/>
      <c r="AB15" s="38"/>
      <c r="AC15" s="38"/>
    </row>
    <row r="16" spans="1:29" s="39" customFormat="1" ht="13.8" x14ac:dyDescent="0.25">
      <c r="A16" s="92"/>
      <c r="B16" s="92"/>
      <c r="C16" s="71"/>
      <c r="D16" s="72"/>
      <c r="E16" s="71"/>
      <c r="F16" s="190"/>
      <c r="G16" s="106">
        <v>5</v>
      </c>
      <c r="H16" s="192"/>
      <c r="I16" s="168"/>
      <c r="J16" s="63"/>
      <c r="K16" s="191"/>
      <c r="L16" s="65"/>
      <c r="M16" s="111" t="s">
        <v>42</v>
      </c>
      <c r="N16" s="58" t="s">
        <v>329</v>
      </c>
      <c r="O16" s="168"/>
      <c r="P16" s="63"/>
      <c r="Q16" s="191"/>
      <c r="R16" s="65"/>
      <c r="S16" s="111" t="s">
        <v>42</v>
      </c>
      <c r="T16" s="58" t="s">
        <v>329</v>
      </c>
      <c r="U16" s="171"/>
      <c r="V16" s="63"/>
      <c r="W16" s="191"/>
      <c r="X16" s="65"/>
      <c r="Y16" s="111" t="s">
        <v>42</v>
      </c>
      <c r="Z16" s="58" t="s">
        <v>329</v>
      </c>
    </row>
    <row r="17" spans="1:29" s="39" customFormat="1" ht="13.8" x14ac:dyDescent="0.25">
      <c r="A17" s="102"/>
      <c r="B17" s="103"/>
      <c r="C17" s="188"/>
      <c r="D17" s="189"/>
      <c r="E17" s="188"/>
      <c r="F17" s="190"/>
      <c r="G17" s="106"/>
      <c r="H17" s="51"/>
      <c r="I17" s="193"/>
      <c r="J17" s="63"/>
      <c r="K17" s="191"/>
      <c r="L17" s="65"/>
      <c r="M17" s="111" t="s">
        <v>394</v>
      </c>
      <c r="N17" s="58" t="s">
        <v>329</v>
      </c>
      <c r="O17" s="168"/>
      <c r="P17" s="104"/>
      <c r="Q17" s="191"/>
      <c r="R17" s="105"/>
      <c r="S17" s="111" t="s">
        <v>394</v>
      </c>
      <c r="T17" s="58" t="s">
        <v>329</v>
      </c>
      <c r="U17" s="171"/>
      <c r="V17" s="104"/>
      <c r="W17" s="191"/>
      <c r="X17" s="105"/>
      <c r="Y17" s="111" t="s">
        <v>394</v>
      </c>
      <c r="Z17" s="58" t="s">
        <v>329</v>
      </c>
    </row>
    <row r="18" spans="1:29" s="39" customFormat="1" ht="13.8" x14ac:dyDescent="0.25">
      <c r="A18" s="126"/>
      <c r="B18" s="126"/>
      <c r="C18" s="181"/>
      <c r="D18" s="182"/>
      <c r="E18" s="181"/>
      <c r="F18" s="183"/>
      <c r="G18" s="184" t="s">
        <v>55</v>
      </c>
      <c r="H18" s="185" t="s">
        <v>326</v>
      </c>
      <c r="I18" s="168"/>
      <c r="J18" s="62"/>
      <c r="K18" s="186"/>
      <c r="L18" s="64"/>
      <c r="M18" s="66"/>
      <c r="N18" s="59"/>
      <c r="O18" s="168"/>
      <c r="P18" s="62"/>
      <c r="Q18" s="186"/>
      <c r="R18" s="64"/>
      <c r="S18" s="66"/>
      <c r="T18" s="59"/>
      <c r="U18" s="171"/>
      <c r="V18" s="62"/>
      <c r="W18" s="186"/>
      <c r="X18" s="64"/>
      <c r="Y18" s="66"/>
      <c r="Z18" s="59"/>
      <c r="AA18" s="38"/>
      <c r="AB18" s="38"/>
      <c r="AC18" s="38"/>
    </row>
    <row r="19" spans="1:29" s="39" customFormat="1" ht="13.8" x14ac:dyDescent="0.25">
      <c r="A19" s="89"/>
      <c r="B19" s="89"/>
      <c r="C19" s="188"/>
      <c r="D19" s="189"/>
      <c r="E19" s="188"/>
      <c r="F19" s="190">
        <f t="shared" ref="F19:F27" si="0">E19*C19</f>
        <v>0</v>
      </c>
      <c r="G19" s="106">
        <v>1</v>
      </c>
      <c r="H19" s="51"/>
      <c r="I19" s="168"/>
      <c r="J19" s="63"/>
      <c r="K19" s="191"/>
      <c r="L19" s="65"/>
      <c r="M19" s="67">
        <f>L19*J19</f>
        <v>0</v>
      </c>
      <c r="N19" s="58"/>
      <c r="O19" s="168"/>
      <c r="P19" s="63"/>
      <c r="Q19" s="191"/>
      <c r="R19" s="65"/>
      <c r="S19" s="67">
        <f>R19*P19</f>
        <v>0</v>
      </c>
      <c r="T19" s="58"/>
      <c r="U19" s="171"/>
      <c r="V19" s="63"/>
      <c r="W19" s="191"/>
      <c r="X19" s="65"/>
      <c r="Y19" s="67">
        <f>X19*V19</f>
        <v>0</v>
      </c>
      <c r="Z19" s="58"/>
      <c r="AA19" s="38"/>
      <c r="AB19" s="38"/>
      <c r="AC19" s="38"/>
    </row>
    <row r="20" spans="1:29" s="39" customFormat="1" ht="13.8" x14ac:dyDescent="0.25">
      <c r="A20" s="89"/>
      <c r="B20" s="89"/>
      <c r="C20" s="188"/>
      <c r="D20" s="189"/>
      <c r="E20" s="188"/>
      <c r="F20" s="190">
        <f t="shared" si="0"/>
        <v>0</v>
      </c>
      <c r="G20" s="106">
        <v>2</v>
      </c>
      <c r="H20" s="51"/>
      <c r="I20" s="168"/>
      <c r="J20" s="63"/>
      <c r="K20" s="191"/>
      <c r="L20" s="65"/>
      <c r="M20" s="67">
        <f t="shared" ref="M20:M27" si="1">L20*J20</f>
        <v>0</v>
      </c>
      <c r="N20" s="58"/>
      <c r="O20" s="168"/>
      <c r="P20" s="63"/>
      <c r="Q20" s="191"/>
      <c r="R20" s="65"/>
      <c r="S20" s="67">
        <f t="shared" ref="S20:S49" si="2">R20*P20</f>
        <v>0</v>
      </c>
      <c r="T20" s="58"/>
      <c r="U20" s="171"/>
      <c r="V20" s="63"/>
      <c r="W20" s="191"/>
      <c r="X20" s="65"/>
      <c r="Y20" s="67">
        <f t="shared" ref="Y20:Y49" si="3">X20*V20</f>
        <v>0</v>
      </c>
      <c r="Z20" s="58"/>
    </row>
    <row r="21" spans="1:29" s="39" customFormat="1" ht="13.8" x14ac:dyDescent="0.25">
      <c r="A21" s="89"/>
      <c r="B21" s="89"/>
      <c r="C21" s="188"/>
      <c r="D21" s="189"/>
      <c r="E21" s="188"/>
      <c r="F21" s="190">
        <f t="shared" si="0"/>
        <v>0</v>
      </c>
      <c r="G21" s="106">
        <v>3</v>
      </c>
      <c r="H21" s="51"/>
      <c r="I21" s="168"/>
      <c r="J21" s="63"/>
      <c r="K21" s="191"/>
      <c r="L21" s="65"/>
      <c r="M21" s="67">
        <f t="shared" si="1"/>
        <v>0</v>
      </c>
      <c r="N21" s="58"/>
      <c r="O21" s="168"/>
      <c r="P21" s="63"/>
      <c r="Q21" s="191"/>
      <c r="R21" s="65"/>
      <c r="S21" s="67">
        <f t="shared" si="2"/>
        <v>0</v>
      </c>
      <c r="T21" s="58"/>
      <c r="U21" s="171"/>
      <c r="V21" s="63"/>
      <c r="W21" s="191"/>
      <c r="X21" s="65"/>
      <c r="Y21" s="67">
        <f t="shared" si="3"/>
        <v>0</v>
      </c>
      <c r="Z21" s="58"/>
    </row>
    <row r="22" spans="1:29" s="39" customFormat="1" ht="13.8" x14ac:dyDescent="0.25">
      <c r="A22" s="89"/>
      <c r="B22" s="89"/>
      <c r="C22" s="188"/>
      <c r="D22" s="189"/>
      <c r="E22" s="188"/>
      <c r="F22" s="190">
        <f t="shared" si="0"/>
        <v>0</v>
      </c>
      <c r="G22" s="106">
        <v>4</v>
      </c>
      <c r="H22" s="51"/>
      <c r="I22" s="168"/>
      <c r="J22" s="63"/>
      <c r="K22" s="191"/>
      <c r="L22" s="65"/>
      <c r="M22" s="67">
        <f t="shared" si="1"/>
        <v>0</v>
      </c>
      <c r="N22" s="58"/>
      <c r="O22" s="168"/>
      <c r="P22" s="63"/>
      <c r="Q22" s="191"/>
      <c r="R22" s="65"/>
      <c r="S22" s="67">
        <f t="shared" si="2"/>
        <v>0</v>
      </c>
      <c r="T22" s="58"/>
      <c r="U22" s="171"/>
      <c r="V22" s="63"/>
      <c r="W22" s="191"/>
      <c r="X22" s="65"/>
      <c r="Y22" s="67">
        <f t="shared" si="3"/>
        <v>0</v>
      </c>
      <c r="Z22" s="58"/>
    </row>
    <row r="23" spans="1:29" s="39" customFormat="1" ht="13.8" x14ac:dyDescent="0.25">
      <c r="A23" s="89"/>
      <c r="B23" s="89"/>
      <c r="C23" s="188"/>
      <c r="D23" s="189"/>
      <c r="E23" s="188"/>
      <c r="F23" s="190">
        <f t="shared" si="0"/>
        <v>0</v>
      </c>
      <c r="G23" s="106">
        <v>5</v>
      </c>
      <c r="H23" s="51"/>
      <c r="I23" s="168"/>
      <c r="J23" s="63"/>
      <c r="K23" s="191"/>
      <c r="L23" s="65"/>
      <c r="M23" s="67">
        <f t="shared" si="1"/>
        <v>0</v>
      </c>
      <c r="N23" s="58"/>
      <c r="O23" s="168"/>
      <c r="P23" s="63"/>
      <c r="Q23" s="191"/>
      <c r="R23" s="65"/>
      <c r="S23" s="67">
        <f t="shared" si="2"/>
        <v>0</v>
      </c>
      <c r="T23" s="58"/>
      <c r="U23" s="171"/>
      <c r="V23" s="63"/>
      <c r="W23" s="191"/>
      <c r="X23" s="65"/>
      <c r="Y23" s="67">
        <f t="shared" si="3"/>
        <v>0</v>
      </c>
      <c r="Z23" s="58"/>
    </row>
    <row r="24" spans="1:29" s="39" customFormat="1" ht="13.8" x14ac:dyDescent="0.25">
      <c r="A24" s="89"/>
      <c r="B24" s="89"/>
      <c r="C24" s="188"/>
      <c r="D24" s="189"/>
      <c r="E24" s="188"/>
      <c r="F24" s="190">
        <f t="shared" si="0"/>
        <v>0</v>
      </c>
      <c r="G24" s="106">
        <v>6</v>
      </c>
      <c r="H24" s="51"/>
      <c r="I24" s="168"/>
      <c r="J24" s="63"/>
      <c r="K24" s="191"/>
      <c r="L24" s="65"/>
      <c r="M24" s="67">
        <f t="shared" si="1"/>
        <v>0</v>
      </c>
      <c r="N24" s="58"/>
      <c r="O24" s="168"/>
      <c r="P24" s="63"/>
      <c r="Q24" s="191"/>
      <c r="R24" s="65"/>
      <c r="S24" s="67">
        <f t="shared" si="2"/>
        <v>0</v>
      </c>
      <c r="T24" s="58"/>
      <c r="U24" s="171"/>
      <c r="V24" s="63"/>
      <c r="W24" s="191"/>
      <c r="X24" s="65"/>
      <c r="Y24" s="67">
        <f t="shared" si="3"/>
        <v>0</v>
      </c>
      <c r="Z24" s="58"/>
    </row>
    <row r="25" spans="1:29" s="39" customFormat="1" ht="13.8" x14ac:dyDescent="0.25">
      <c r="A25" s="89"/>
      <c r="B25" s="89"/>
      <c r="C25" s="188"/>
      <c r="D25" s="189"/>
      <c r="E25" s="188"/>
      <c r="F25" s="190">
        <f t="shared" si="0"/>
        <v>0</v>
      </c>
      <c r="G25" s="106">
        <v>7</v>
      </c>
      <c r="H25" s="51"/>
      <c r="I25" s="168"/>
      <c r="J25" s="63"/>
      <c r="K25" s="191"/>
      <c r="L25" s="65"/>
      <c r="M25" s="67">
        <f t="shared" si="1"/>
        <v>0</v>
      </c>
      <c r="N25" s="58"/>
      <c r="O25" s="168"/>
      <c r="P25" s="63"/>
      <c r="Q25" s="191"/>
      <c r="R25" s="65"/>
      <c r="S25" s="67">
        <f t="shared" si="2"/>
        <v>0</v>
      </c>
      <c r="T25" s="58"/>
      <c r="U25" s="171"/>
      <c r="V25" s="63"/>
      <c r="W25" s="191"/>
      <c r="X25" s="65"/>
      <c r="Y25" s="67">
        <f t="shared" si="3"/>
        <v>0</v>
      </c>
      <c r="Z25" s="58"/>
    </row>
    <row r="26" spans="1:29" s="39" customFormat="1" ht="13.8" x14ac:dyDescent="0.25">
      <c r="A26" s="89"/>
      <c r="B26" s="89"/>
      <c r="C26" s="188"/>
      <c r="D26" s="189"/>
      <c r="E26" s="188"/>
      <c r="F26" s="190">
        <f t="shared" si="0"/>
        <v>0</v>
      </c>
      <c r="G26" s="106">
        <v>8</v>
      </c>
      <c r="H26" s="51"/>
      <c r="I26" s="168"/>
      <c r="J26" s="63"/>
      <c r="K26" s="191"/>
      <c r="L26" s="65"/>
      <c r="M26" s="67">
        <f t="shared" si="1"/>
        <v>0</v>
      </c>
      <c r="N26" s="58"/>
      <c r="O26" s="168"/>
      <c r="P26" s="63"/>
      <c r="Q26" s="191"/>
      <c r="R26" s="65"/>
      <c r="S26" s="67">
        <f t="shared" si="2"/>
        <v>0</v>
      </c>
      <c r="T26" s="58"/>
      <c r="U26" s="171"/>
      <c r="V26" s="63"/>
      <c r="W26" s="191"/>
      <c r="X26" s="65"/>
      <c r="Y26" s="67">
        <f t="shared" si="3"/>
        <v>0</v>
      </c>
      <c r="Z26" s="58"/>
    </row>
    <row r="27" spans="1:29" s="39" customFormat="1" ht="13.8" x14ac:dyDescent="0.25">
      <c r="A27" s="89"/>
      <c r="B27" s="89"/>
      <c r="C27" s="188"/>
      <c r="D27" s="189"/>
      <c r="E27" s="188"/>
      <c r="F27" s="190">
        <f t="shared" si="0"/>
        <v>0</v>
      </c>
      <c r="G27" s="106">
        <v>9</v>
      </c>
      <c r="H27" s="51"/>
      <c r="I27" s="168"/>
      <c r="J27" s="63"/>
      <c r="K27" s="191"/>
      <c r="L27" s="65"/>
      <c r="M27" s="67">
        <f t="shared" si="1"/>
        <v>0</v>
      </c>
      <c r="N27" s="58"/>
      <c r="O27" s="168"/>
      <c r="P27" s="63"/>
      <c r="Q27" s="191"/>
      <c r="R27" s="65"/>
      <c r="S27" s="67">
        <f t="shared" si="2"/>
        <v>0</v>
      </c>
      <c r="T27" s="58"/>
      <c r="U27" s="171"/>
      <c r="V27" s="63"/>
      <c r="W27" s="191"/>
      <c r="X27" s="65"/>
      <c r="Y27" s="67">
        <f t="shared" si="3"/>
        <v>0</v>
      </c>
      <c r="Z27" s="58"/>
    </row>
    <row r="28" spans="1:29" s="39" customFormat="1" ht="13.8" x14ac:dyDescent="0.25">
      <c r="A28" s="89"/>
      <c r="B28" s="89"/>
      <c r="C28" s="188"/>
      <c r="D28" s="189"/>
      <c r="E28" s="188"/>
      <c r="F28" s="190">
        <f t="shared" ref="F28:F30" si="4">E28*C28</f>
        <v>0</v>
      </c>
      <c r="G28" s="106">
        <v>10</v>
      </c>
      <c r="H28" s="51"/>
      <c r="I28" s="168"/>
      <c r="J28" s="63"/>
      <c r="K28" s="191"/>
      <c r="L28" s="65"/>
      <c r="M28" s="67">
        <f t="shared" ref="M28:M30" si="5">L28*J28</f>
        <v>0</v>
      </c>
      <c r="N28" s="58"/>
      <c r="O28" s="168"/>
      <c r="P28" s="63"/>
      <c r="Q28" s="191"/>
      <c r="R28" s="65"/>
      <c r="S28" s="67">
        <f t="shared" ref="S28:S30" si="6">R28*P28</f>
        <v>0</v>
      </c>
      <c r="T28" s="58"/>
      <c r="U28" s="171"/>
      <c r="V28" s="63"/>
      <c r="W28" s="191"/>
      <c r="X28" s="65"/>
      <c r="Y28" s="67">
        <f t="shared" ref="Y28:Y30" si="7">X28*V28</f>
        <v>0</v>
      </c>
      <c r="Z28" s="58"/>
    </row>
    <row r="29" spans="1:29" s="39" customFormat="1" ht="13.8" x14ac:dyDescent="0.25">
      <c r="A29" s="89"/>
      <c r="B29" s="89"/>
      <c r="C29" s="188"/>
      <c r="D29" s="189"/>
      <c r="E29" s="188"/>
      <c r="F29" s="190">
        <f t="shared" si="4"/>
        <v>0</v>
      </c>
      <c r="G29" s="106">
        <v>11</v>
      </c>
      <c r="H29" s="51"/>
      <c r="I29" s="168"/>
      <c r="J29" s="63"/>
      <c r="K29" s="191"/>
      <c r="L29" s="65"/>
      <c r="M29" s="67">
        <f t="shared" si="5"/>
        <v>0</v>
      </c>
      <c r="N29" s="58"/>
      <c r="O29" s="168"/>
      <c r="P29" s="63"/>
      <c r="Q29" s="191"/>
      <c r="R29" s="65"/>
      <c r="S29" s="67">
        <f t="shared" si="6"/>
        <v>0</v>
      </c>
      <c r="T29" s="58"/>
      <c r="U29" s="171"/>
      <c r="V29" s="63"/>
      <c r="W29" s="191"/>
      <c r="X29" s="65"/>
      <c r="Y29" s="67">
        <f t="shared" si="7"/>
        <v>0</v>
      </c>
      <c r="Z29" s="58"/>
    </row>
    <row r="30" spans="1:29" s="39" customFormat="1" ht="13.8" x14ac:dyDescent="0.25">
      <c r="A30" s="89"/>
      <c r="B30" s="89"/>
      <c r="C30" s="188"/>
      <c r="D30" s="189"/>
      <c r="E30" s="188"/>
      <c r="F30" s="190">
        <f t="shared" si="4"/>
        <v>0</v>
      </c>
      <c r="G30" s="106">
        <v>12</v>
      </c>
      <c r="H30" s="51"/>
      <c r="I30" s="168"/>
      <c r="J30" s="63"/>
      <c r="K30" s="191"/>
      <c r="L30" s="65"/>
      <c r="M30" s="67">
        <f t="shared" si="5"/>
        <v>0</v>
      </c>
      <c r="N30" s="58"/>
      <c r="O30" s="168"/>
      <c r="P30" s="63"/>
      <c r="Q30" s="191"/>
      <c r="R30" s="65"/>
      <c r="S30" s="67">
        <f t="shared" si="6"/>
        <v>0</v>
      </c>
      <c r="T30" s="58"/>
      <c r="U30" s="171"/>
      <c r="V30" s="63"/>
      <c r="W30" s="191"/>
      <c r="X30" s="65"/>
      <c r="Y30" s="67">
        <f t="shared" si="7"/>
        <v>0</v>
      </c>
      <c r="Z30" s="58"/>
    </row>
    <row r="31" spans="1:29" s="39" customFormat="1" ht="13.8" x14ac:dyDescent="0.25">
      <c r="A31" s="89"/>
      <c r="B31" s="89"/>
      <c r="C31" s="188"/>
      <c r="D31" s="189"/>
      <c r="E31" s="188"/>
      <c r="F31" s="190">
        <f t="shared" ref="F31:F37" si="8">E31*C31</f>
        <v>0</v>
      </c>
      <c r="G31" s="106">
        <v>13</v>
      </c>
      <c r="H31" s="51"/>
      <c r="I31" s="168"/>
      <c r="J31" s="63"/>
      <c r="K31" s="191"/>
      <c r="L31" s="65"/>
      <c r="M31" s="67">
        <f t="shared" ref="M31:M49" si="9">L31*J31</f>
        <v>0</v>
      </c>
      <c r="N31" s="58"/>
      <c r="O31" s="168"/>
      <c r="P31" s="63"/>
      <c r="Q31" s="191"/>
      <c r="R31" s="65"/>
      <c r="S31" s="67">
        <f t="shared" si="2"/>
        <v>0</v>
      </c>
      <c r="T31" s="58"/>
      <c r="U31" s="171"/>
      <c r="V31" s="63"/>
      <c r="W31" s="191"/>
      <c r="X31" s="65"/>
      <c r="Y31" s="67">
        <f t="shared" si="3"/>
        <v>0</v>
      </c>
      <c r="Z31" s="58"/>
    </row>
    <row r="32" spans="1:29" s="39" customFormat="1" ht="13.8" x14ac:dyDescent="0.25">
      <c r="A32" s="89"/>
      <c r="B32" s="89"/>
      <c r="C32" s="188"/>
      <c r="D32" s="189"/>
      <c r="E32" s="188"/>
      <c r="F32" s="190">
        <f t="shared" si="8"/>
        <v>0</v>
      </c>
      <c r="G32" s="106">
        <v>14</v>
      </c>
      <c r="H32" s="51"/>
      <c r="I32" s="168"/>
      <c r="J32" s="63"/>
      <c r="K32" s="191"/>
      <c r="L32" s="65"/>
      <c r="M32" s="67">
        <f t="shared" si="9"/>
        <v>0</v>
      </c>
      <c r="N32" s="58"/>
      <c r="O32" s="168"/>
      <c r="P32" s="63"/>
      <c r="Q32" s="191"/>
      <c r="R32" s="65"/>
      <c r="S32" s="67">
        <f t="shared" si="2"/>
        <v>0</v>
      </c>
      <c r="T32" s="58"/>
      <c r="U32" s="171"/>
      <c r="V32" s="63"/>
      <c r="W32" s="191"/>
      <c r="X32" s="65"/>
      <c r="Y32" s="67">
        <f t="shared" si="3"/>
        <v>0</v>
      </c>
      <c r="Z32" s="58"/>
    </row>
    <row r="33" spans="1:26" s="39" customFormat="1" ht="13.8" x14ac:dyDescent="0.25">
      <c r="A33" s="89"/>
      <c r="B33" s="89"/>
      <c r="C33" s="188"/>
      <c r="D33" s="189"/>
      <c r="E33" s="188"/>
      <c r="F33" s="190">
        <f t="shared" si="8"/>
        <v>0</v>
      </c>
      <c r="G33" s="106">
        <v>15</v>
      </c>
      <c r="H33" s="51"/>
      <c r="I33" s="168"/>
      <c r="J33" s="63"/>
      <c r="K33" s="191"/>
      <c r="L33" s="65"/>
      <c r="M33" s="67">
        <f t="shared" si="9"/>
        <v>0</v>
      </c>
      <c r="N33" s="58"/>
      <c r="O33" s="168"/>
      <c r="P33" s="63"/>
      <c r="Q33" s="191"/>
      <c r="R33" s="65"/>
      <c r="S33" s="67">
        <f t="shared" si="2"/>
        <v>0</v>
      </c>
      <c r="T33" s="58"/>
      <c r="U33" s="171"/>
      <c r="V33" s="63"/>
      <c r="W33" s="191"/>
      <c r="X33" s="65"/>
      <c r="Y33" s="67">
        <f t="shared" si="3"/>
        <v>0</v>
      </c>
      <c r="Z33" s="58"/>
    </row>
    <row r="34" spans="1:26" s="39" customFormat="1" ht="13.8" x14ac:dyDescent="0.25">
      <c r="A34" s="89"/>
      <c r="B34" s="89"/>
      <c r="C34" s="188"/>
      <c r="D34" s="189"/>
      <c r="E34" s="188"/>
      <c r="F34" s="190">
        <f t="shared" si="8"/>
        <v>0</v>
      </c>
      <c r="G34" s="106">
        <v>16</v>
      </c>
      <c r="H34" s="51"/>
      <c r="I34" s="168"/>
      <c r="J34" s="63"/>
      <c r="K34" s="191"/>
      <c r="L34" s="65"/>
      <c r="M34" s="67">
        <f t="shared" si="9"/>
        <v>0</v>
      </c>
      <c r="N34" s="58"/>
      <c r="O34" s="168"/>
      <c r="P34" s="63"/>
      <c r="Q34" s="191"/>
      <c r="R34" s="65"/>
      <c r="S34" s="67">
        <f t="shared" si="2"/>
        <v>0</v>
      </c>
      <c r="T34" s="58"/>
      <c r="U34" s="171"/>
      <c r="V34" s="63"/>
      <c r="W34" s="191"/>
      <c r="X34" s="65"/>
      <c r="Y34" s="67">
        <f t="shared" si="3"/>
        <v>0</v>
      </c>
      <c r="Z34" s="58"/>
    </row>
    <row r="35" spans="1:26" s="39" customFormat="1" ht="13.8" x14ac:dyDescent="0.25">
      <c r="A35" s="89"/>
      <c r="B35" s="89"/>
      <c r="C35" s="188"/>
      <c r="D35" s="189"/>
      <c r="E35" s="188"/>
      <c r="F35" s="190">
        <f t="shared" si="8"/>
        <v>0</v>
      </c>
      <c r="G35" s="106">
        <v>17</v>
      </c>
      <c r="H35" s="51"/>
      <c r="I35" s="168"/>
      <c r="J35" s="63"/>
      <c r="K35" s="191"/>
      <c r="L35" s="65"/>
      <c r="M35" s="67">
        <f t="shared" si="9"/>
        <v>0</v>
      </c>
      <c r="N35" s="58"/>
      <c r="O35" s="168"/>
      <c r="P35" s="63"/>
      <c r="Q35" s="191"/>
      <c r="R35" s="65"/>
      <c r="S35" s="67">
        <f t="shared" si="2"/>
        <v>0</v>
      </c>
      <c r="T35" s="58"/>
      <c r="U35" s="171"/>
      <c r="V35" s="63"/>
      <c r="W35" s="191"/>
      <c r="X35" s="65"/>
      <c r="Y35" s="67">
        <f t="shared" si="3"/>
        <v>0</v>
      </c>
      <c r="Z35" s="58"/>
    </row>
    <row r="36" spans="1:26" s="39" customFormat="1" ht="13.8" x14ac:dyDescent="0.25">
      <c r="A36" s="89"/>
      <c r="B36" s="89"/>
      <c r="C36" s="188"/>
      <c r="D36" s="189"/>
      <c r="E36" s="188"/>
      <c r="F36" s="190">
        <f t="shared" si="8"/>
        <v>0</v>
      </c>
      <c r="G36" s="106">
        <v>18</v>
      </c>
      <c r="H36" s="51"/>
      <c r="I36" s="168"/>
      <c r="J36" s="63"/>
      <c r="K36" s="191"/>
      <c r="L36" s="65"/>
      <c r="M36" s="67">
        <f t="shared" si="9"/>
        <v>0</v>
      </c>
      <c r="N36" s="58"/>
      <c r="O36" s="168"/>
      <c r="P36" s="63"/>
      <c r="Q36" s="191"/>
      <c r="R36" s="65"/>
      <c r="S36" s="67">
        <f t="shared" si="2"/>
        <v>0</v>
      </c>
      <c r="T36" s="58"/>
      <c r="U36" s="171"/>
      <c r="V36" s="63"/>
      <c r="W36" s="191"/>
      <c r="X36" s="65"/>
      <c r="Y36" s="67">
        <f t="shared" si="3"/>
        <v>0</v>
      </c>
      <c r="Z36" s="58"/>
    </row>
    <row r="37" spans="1:26" s="39" customFormat="1" ht="13.8" x14ac:dyDescent="0.25">
      <c r="A37" s="89"/>
      <c r="B37" s="89"/>
      <c r="C37" s="188"/>
      <c r="D37" s="189"/>
      <c r="E37" s="188"/>
      <c r="F37" s="190">
        <f t="shared" si="8"/>
        <v>0</v>
      </c>
      <c r="G37" s="106">
        <v>19</v>
      </c>
      <c r="H37" s="51"/>
      <c r="I37" s="168"/>
      <c r="J37" s="63"/>
      <c r="K37" s="191"/>
      <c r="L37" s="65"/>
      <c r="M37" s="67">
        <f t="shared" si="9"/>
        <v>0</v>
      </c>
      <c r="N37" s="58"/>
      <c r="O37" s="168"/>
      <c r="P37" s="63"/>
      <c r="Q37" s="191"/>
      <c r="R37" s="65"/>
      <c r="S37" s="67">
        <f t="shared" si="2"/>
        <v>0</v>
      </c>
      <c r="T37" s="58"/>
      <c r="U37" s="171"/>
      <c r="V37" s="63"/>
      <c r="W37" s="191"/>
      <c r="X37" s="65"/>
      <c r="Y37" s="67">
        <f t="shared" si="3"/>
        <v>0</v>
      </c>
      <c r="Z37" s="58"/>
    </row>
    <row r="38" spans="1:26" s="39" customFormat="1" ht="13.8" x14ac:dyDescent="0.25">
      <c r="A38" s="89"/>
      <c r="B38" s="89"/>
      <c r="C38" s="188"/>
      <c r="D38" s="189"/>
      <c r="E38" s="188"/>
      <c r="F38" s="190">
        <f t="shared" ref="F38:F43" si="10">E38*C38</f>
        <v>0</v>
      </c>
      <c r="G38" s="106">
        <v>20</v>
      </c>
      <c r="H38" s="51"/>
      <c r="I38" s="168"/>
      <c r="J38" s="63"/>
      <c r="K38" s="191"/>
      <c r="L38" s="65"/>
      <c r="M38" s="67">
        <f t="shared" si="9"/>
        <v>0</v>
      </c>
      <c r="N38" s="58"/>
      <c r="O38" s="168"/>
      <c r="P38" s="63"/>
      <c r="Q38" s="191"/>
      <c r="R38" s="65"/>
      <c r="S38" s="67">
        <f t="shared" si="2"/>
        <v>0</v>
      </c>
      <c r="T38" s="58"/>
      <c r="U38" s="171"/>
      <c r="V38" s="63"/>
      <c r="W38" s="191"/>
      <c r="X38" s="65"/>
      <c r="Y38" s="67">
        <f t="shared" si="3"/>
        <v>0</v>
      </c>
      <c r="Z38" s="58"/>
    </row>
    <row r="39" spans="1:26" s="39" customFormat="1" ht="13.8" x14ac:dyDescent="0.25">
      <c r="A39" s="89"/>
      <c r="B39" s="89"/>
      <c r="C39" s="188"/>
      <c r="D39" s="189"/>
      <c r="E39" s="188"/>
      <c r="F39" s="190">
        <f t="shared" si="10"/>
        <v>0</v>
      </c>
      <c r="G39" s="106">
        <v>21</v>
      </c>
      <c r="H39" s="51"/>
      <c r="I39" s="168"/>
      <c r="J39" s="63"/>
      <c r="K39" s="191"/>
      <c r="L39" s="65"/>
      <c r="M39" s="67">
        <f t="shared" si="9"/>
        <v>0</v>
      </c>
      <c r="N39" s="58"/>
      <c r="O39" s="168"/>
      <c r="P39" s="63"/>
      <c r="Q39" s="191"/>
      <c r="R39" s="65"/>
      <c r="S39" s="67">
        <f t="shared" si="2"/>
        <v>0</v>
      </c>
      <c r="T39" s="58"/>
      <c r="U39" s="171"/>
      <c r="V39" s="63"/>
      <c r="W39" s="191"/>
      <c r="X39" s="65"/>
      <c r="Y39" s="67">
        <f t="shared" si="3"/>
        <v>0</v>
      </c>
      <c r="Z39" s="58"/>
    </row>
    <row r="40" spans="1:26" s="39" customFormat="1" ht="13.8" x14ac:dyDescent="0.25">
      <c r="A40" s="89"/>
      <c r="B40" s="89"/>
      <c r="C40" s="188"/>
      <c r="D40" s="189"/>
      <c r="E40" s="188"/>
      <c r="F40" s="190">
        <f t="shared" si="10"/>
        <v>0</v>
      </c>
      <c r="G40" s="106">
        <v>22</v>
      </c>
      <c r="H40" s="51"/>
      <c r="I40" s="168"/>
      <c r="J40" s="63"/>
      <c r="K40" s="191"/>
      <c r="L40" s="65"/>
      <c r="M40" s="67">
        <f t="shared" si="9"/>
        <v>0</v>
      </c>
      <c r="N40" s="58"/>
      <c r="O40" s="168"/>
      <c r="P40" s="63"/>
      <c r="Q40" s="191"/>
      <c r="R40" s="65"/>
      <c r="S40" s="67">
        <f t="shared" si="2"/>
        <v>0</v>
      </c>
      <c r="T40" s="58"/>
      <c r="U40" s="171"/>
      <c r="V40" s="63"/>
      <c r="W40" s="191"/>
      <c r="X40" s="65"/>
      <c r="Y40" s="67">
        <f t="shared" si="3"/>
        <v>0</v>
      </c>
      <c r="Z40" s="58"/>
    </row>
    <row r="41" spans="1:26" s="39" customFormat="1" ht="13.8" x14ac:dyDescent="0.25">
      <c r="A41" s="89"/>
      <c r="B41" s="89"/>
      <c r="C41" s="188"/>
      <c r="D41" s="189"/>
      <c r="E41" s="188"/>
      <c r="F41" s="190">
        <f t="shared" si="10"/>
        <v>0</v>
      </c>
      <c r="G41" s="106">
        <v>23</v>
      </c>
      <c r="H41" s="51"/>
      <c r="I41" s="168"/>
      <c r="J41" s="63"/>
      <c r="K41" s="191"/>
      <c r="L41" s="65"/>
      <c r="M41" s="67">
        <f t="shared" si="9"/>
        <v>0</v>
      </c>
      <c r="N41" s="58"/>
      <c r="O41" s="168"/>
      <c r="P41" s="63"/>
      <c r="Q41" s="191"/>
      <c r="R41" s="65"/>
      <c r="S41" s="67">
        <f t="shared" si="2"/>
        <v>0</v>
      </c>
      <c r="T41" s="58"/>
      <c r="U41" s="171"/>
      <c r="V41" s="63"/>
      <c r="W41" s="191"/>
      <c r="X41" s="65"/>
      <c r="Y41" s="67">
        <f t="shared" si="3"/>
        <v>0</v>
      </c>
      <c r="Z41" s="58"/>
    </row>
    <row r="42" spans="1:26" s="39" customFormat="1" ht="13.8" x14ac:dyDescent="0.25">
      <c r="A42" s="89"/>
      <c r="B42" s="89"/>
      <c r="C42" s="188"/>
      <c r="D42" s="189"/>
      <c r="E42" s="188"/>
      <c r="F42" s="190">
        <f t="shared" si="10"/>
        <v>0</v>
      </c>
      <c r="G42" s="106">
        <v>24</v>
      </c>
      <c r="H42" s="51"/>
      <c r="I42" s="168"/>
      <c r="J42" s="63"/>
      <c r="K42" s="191"/>
      <c r="L42" s="65"/>
      <c r="M42" s="67">
        <f t="shared" si="9"/>
        <v>0</v>
      </c>
      <c r="N42" s="58"/>
      <c r="O42" s="168"/>
      <c r="P42" s="63"/>
      <c r="Q42" s="191"/>
      <c r="R42" s="65"/>
      <c r="S42" s="67">
        <f t="shared" si="2"/>
        <v>0</v>
      </c>
      <c r="T42" s="58"/>
      <c r="U42" s="171"/>
      <c r="V42" s="63"/>
      <c r="W42" s="191"/>
      <c r="X42" s="65"/>
      <c r="Y42" s="67">
        <f t="shared" si="3"/>
        <v>0</v>
      </c>
      <c r="Z42" s="58"/>
    </row>
    <row r="43" spans="1:26" s="39" customFormat="1" ht="13.8" x14ac:dyDescent="0.25">
      <c r="A43" s="89"/>
      <c r="B43" s="89"/>
      <c r="C43" s="188"/>
      <c r="D43" s="189"/>
      <c r="E43" s="188"/>
      <c r="F43" s="190">
        <f t="shared" si="10"/>
        <v>0</v>
      </c>
      <c r="G43" s="106">
        <v>25</v>
      </c>
      <c r="H43" s="51"/>
      <c r="I43" s="168"/>
      <c r="J43" s="63"/>
      <c r="K43" s="191"/>
      <c r="L43" s="65"/>
      <c r="M43" s="67">
        <f t="shared" si="9"/>
        <v>0</v>
      </c>
      <c r="N43" s="58"/>
      <c r="O43" s="168"/>
      <c r="P43" s="63"/>
      <c r="Q43" s="191"/>
      <c r="R43" s="65"/>
      <c r="S43" s="67">
        <f t="shared" si="2"/>
        <v>0</v>
      </c>
      <c r="T43" s="58"/>
      <c r="U43" s="171"/>
      <c r="V43" s="63"/>
      <c r="W43" s="191"/>
      <c r="X43" s="65"/>
      <c r="Y43" s="67">
        <f t="shared" si="3"/>
        <v>0</v>
      </c>
      <c r="Z43" s="58"/>
    </row>
    <row r="44" spans="1:26" s="39" customFormat="1" ht="13.8" x14ac:dyDescent="0.25">
      <c r="A44" s="89"/>
      <c r="B44" s="89"/>
      <c r="C44" s="188"/>
      <c r="D44" s="189"/>
      <c r="E44" s="188"/>
      <c r="F44" s="190">
        <f t="shared" ref="F44:F49" si="11">E44*C44</f>
        <v>0</v>
      </c>
      <c r="G44" s="106">
        <v>26</v>
      </c>
      <c r="H44" s="51"/>
      <c r="I44" s="168"/>
      <c r="J44" s="63"/>
      <c r="K44" s="191"/>
      <c r="L44" s="65"/>
      <c r="M44" s="67">
        <f t="shared" si="9"/>
        <v>0</v>
      </c>
      <c r="N44" s="58"/>
      <c r="O44" s="168"/>
      <c r="P44" s="63"/>
      <c r="Q44" s="191"/>
      <c r="R44" s="65"/>
      <c r="S44" s="67">
        <f t="shared" si="2"/>
        <v>0</v>
      </c>
      <c r="T44" s="58"/>
      <c r="U44" s="171"/>
      <c r="V44" s="63"/>
      <c r="W44" s="191"/>
      <c r="X44" s="65"/>
      <c r="Y44" s="67">
        <f t="shared" si="3"/>
        <v>0</v>
      </c>
      <c r="Z44" s="58"/>
    </row>
    <row r="45" spans="1:26" s="39" customFormat="1" ht="13.8" x14ac:dyDescent="0.25">
      <c r="A45" s="89"/>
      <c r="B45" s="89"/>
      <c r="C45" s="188"/>
      <c r="D45" s="189"/>
      <c r="E45" s="188"/>
      <c r="F45" s="190">
        <f t="shared" si="11"/>
        <v>0</v>
      </c>
      <c r="G45" s="106">
        <v>27</v>
      </c>
      <c r="H45" s="51"/>
      <c r="I45" s="168"/>
      <c r="J45" s="63"/>
      <c r="K45" s="191"/>
      <c r="L45" s="65"/>
      <c r="M45" s="67">
        <f t="shared" si="9"/>
        <v>0</v>
      </c>
      <c r="N45" s="58"/>
      <c r="O45" s="168"/>
      <c r="P45" s="63"/>
      <c r="Q45" s="191"/>
      <c r="R45" s="65"/>
      <c r="S45" s="67">
        <f t="shared" si="2"/>
        <v>0</v>
      </c>
      <c r="T45" s="58"/>
      <c r="U45" s="171"/>
      <c r="V45" s="63"/>
      <c r="W45" s="191"/>
      <c r="X45" s="65"/>
      <c r="Y45" s="67">
        <f t="shared" si="3"/>
        <v>0</v>
      </c>
      <c r="Z45" s="58"/>
    </row>
    <row r="46" spans="1:26" s="39" customFormat="1" ht="13.8" x14ac:dyDescent="0.25">
      <c r="A46" s="89"/>
      <c r="B46" s="89"/>
      <c r="C46" s="188"/>
      <c r="D46" s="189"/>
      <c r="E46" s="188"/>
      <c r="F46" s="190">
        <f t="shared" ref="F46" si="12">E46*C46</f>
        <v>0</v>
      </c>
      <c r="G46" s="106">
        <v>28</v>
      </c>
      <c r="H46" s="51"/>
      <c r="I46" s="168"/>
      <c r="J46" s="63"/>
      <c r="K46" s="191"/>
      <c r="L46" s="65"/>
      <c r="M46" s="67">
        <f t="shared" ref="M46" si="13">L46*J46</f>
        <v>0</v>
      </c>
      <c r="N46" s="58"/>
      <c r="O46" s="168"/>
      <c r="P46" s="63"/>
      <c r="Q46" s="191"/>
      <c r="R46" s="65"/>
      <c r="S46" s="67">
        <f t="shared" ref="S46" si="14">R46*P46</f>
        <v>0</v>
      </c>
      <c r="T46" s="58"/>
      <c r="U46" s="171"/>
      <c r="V46" s="63"/>
      <c r="W46" s="191"/>
      <c r="X46" s="65"/>
      <c r="Y46" s="67">
        <f t="shared" ref="Y46" si="15">X46*V46</f>
        <v>0</v>
      </c>
      <c r="Z46" s="58"/>
    </row>
    <row r="47" spans="1:26" s="39" customFormat="1" ht="13.8" x14ac:dyDescent="0.25">
      <c r="A47" s="89"/>
      <c r="B47" s="89"/>
      <c r="C47" s="188"/>
      <c r="D47" s="189"/>
      <c r="E47" s="188"/>
      <c r="F47" s="190">
        <f t="shared" ref="F47" si="16">E47*C47</f>
        <v>0</v>
      </c>
      <c r="G47" s="106">
        <v>29</v>
      </c>
      <c r="H47" s="51"/>
      <c r="I47" s="168"/>
      <c r="J47" s="63"/>
      <c r="K47" s="191"/>
      <c r="L47" s="65"/>
      <c r="M47" s="67">
        <f t="shared" ref="M47" si="17">L47*J47</f>
        <v>0</v>
      </c>
      <c r="N47" s="58"/>
      <c r="O47" s="168"/>
      <c r="P47" s="63"/>
      <c r="Q47" s="191"/>
      <c r="R47" s="65"/>
      <c r="S47" s="67">
        <f t="shared" ref="S47" si="18">R47*P47</f>
        <v>0</v>
      </c>
      <c r="T47" s="58"/>
      <c r="U47" s="171"/>
      <c r="V47" s="63"/>
      <c r="W47" s="191"/>
      <c r="X47" s="65"/>
      <c r="Y47" s="67">
        <f t="shared" ref="Y47" si="19">X47*V47</f>
        <v>0</v>
      </c>
      <c r="Z47" s="58"/>
    </row>
    <row r="48" spans="1:26" s="39" customFormat="1" ht="13.8" x14ac:dyDescent="0.25">
      <c r="A48" s="89"/>
      <c r="B48" s="89"/>
      <c r="C48" s="188"/>
      <c r="D48" s="189"/>
      <c r="E48" s="188"/>
      <c r="F48" s="190">
        <f t="shared" si="11"/>
        <v>0</v>
      </c>
      <c r="G48" s="106">
        <v>30</v>
      </c>
      <c r="H48" s="51"/>
      <c r="I48" s="168"/>
      <c r="J48" s="63"/>
      <c r="K48" s="191"/>
      <c r="L48" s="65"/>
      <c r="M48" s="67">
        <f t="shared" si="9"/>
        <v>0</v>
      </c>
      <c r="N48" s="58"/>
      <c r="O48" s="168"/>
      <c r="P48" s="63"/>
      <c r="Q48" s="191"/>
      <c r="R48" s="65"/>
      <c r="S48" s="67">
        <f t="shared" si="2"/>
        <v>0</v>
      </c>
      <c r="T48" s="58"/>
      <c r="U48" s="171"/>
      <c r="V48" s="63"/>
      <c r="W48" s="191"/>
      <c r="X48" s="65"/>
      <c r="Y48" s="67">
        <f t="shared" si="3"/>
        <v>0</v>
      </c>
      <c r="Z48" s="58"/>
    </row>
    <row r="49" spans="1:29" s="39" customFormat="1" ht="13.8" x14ac:dyDescent="0.25">
      <c r="A49" s="89"/>
      <c r="B49" s="89"/>
      <c r="C49" s="188"/>
      <c r="D49" s="189"/>
      <c r="E49" s="188"/>
      <c r="F49" s="190">
        <f t="shared" si="11"/>
        <v>0</v>
      </c>
      <c r="G49" s="106"/>
      <c r="H49" s="51"/>
      <c r="I49" s="168"/>
      <c r="J49" s="63"/>
      <c r="K49" s="191"/>
      <c r="L49" s="65"/>
      <c r="M49" s="67">
        <f t="shared" si="9"/>
        <v>0</v>
      </c>
      <c r="N49" s="58"/>
      <c r="O49" s="168"/>
      <c r="P49" s="63"/>
      <c r="Q49" s="191"/>
      <c r="R49" s="65"/>
      <c r="S49" s="67">
        <f t="shared" si="2"/>
        <v>0</v>
      </c>
      <c r="T49" s="58"/>
      <c r="U49" s="171"/>
      <c r="V49" s="63"/>
      <c r="W49" s="191"/>
      <c r="X49" s="65"/>
      <c r="Y49" s="67">
        <f t="shared" si="3"/>
        <v>0</v>
      </c>
      <c r="Z49" s="58"/>
    </row>
    <row r="50" spans="1:29" s="39" customFormat="1" ht="13.8" x14ac:dyDescent="0.25">
      <c r="A50" s="126"/>
      <c r="B50" s="126"/>
      <c r="C50" s="181"/>
      <c r="D50" s="182"/>
      <c r="E50" s="181"/>
      <c r="F50" s="183"/>
      <c r="G50" s="184" t="s">
        <v>56</v>
      </c>
      <c r="H50" s="185" t="s">
        <v>57</v>
      </c>
      <c r="I50" s="168"/>
      <c r="J50" s="62"/>
      <c r="K50" s="186"/>
      <c r="L50" s="64"/>
      <c r="M50" s="66"/>
      <c r="N50" s="59"/>
      <c r="O50" s="168"/>
      <c r="P50" s="62"/>
      <c r="Q50" s="186"/>
      <c r="R50" s="64"/>
      <c r="S50" s="66"/>
      <c r="T50" s="59"/>
      <c r="U50" s="171"/>
      <c r="V50" s="62"/>
      <c r="W50" s="186"/>
      <c r="X50" s="64"/>
      <c r="Y50" s="66"/>
      <c r="Z50" s="59"/>
      <c r="AA50" s="38"/>
      <c r="AB50" s="38"/>
      <c r="AC50" s="38"/>
    </row>
    <row r="51" spans="1:29" s="39" customFormat="1" ht="13.8" x14ac:dyDescent="0.25">
      <c r="A51" s="89"/>
      <c r="B51" s="89"/>
      <c r="C51" s="188"/>
      <c r="D51" s="189"/>
      <c r="E51" s="188"/>
      <c r="F51" s="190"/>
      <c r="G51" s="106">
        <v>1</v>
      </c>
      <c r="H51" s="68" t="s">
        <v>324</v>
      </c>
      <c r="I51" s="168"/>
      <c r="J51" s="63"/>
      <c r="K51" s="191"/>
      <c r="L51" s="65"/>
      <c r="M51" s="67"/>
      <c r="N51" s="58"/>
      <c r="O51" s="168"/>
      <c r="P51" s="63"/>
      <c r="Q51" s="191"/>
      <c r="R51" s="65"/>
      <c r="S51" s="67"/>
      <c r="T51" s="58"/>
      <c r="U51" s="171"/>
      <c r="V51" s="63"/>
      <c r="W51" s="191"/>
      <c r="X51" s="65"/>
      <c r="Y51" s="67"/>
      <c r="Z51" s="58"/>
      <c r="AA51" s="38"/>
      <c r="AB51" s="38"/>
      <c r="AC51" s="38"/>
    </row>
    <row r="52" spans="1:29" s="39" customFormat="1" ht="13.8" x14ac:dyDescent="0.25">
      <c r="A52" s="89"/>
      <c r="B52" s="89"/>
      <c r="C52" s="188"/>
      <c r="D52" s="189"/>
      <c r="E52" s="188"/>
      <c r="F52" s="190"/>
      <c r="G52" s="106">
        <v>2</v>
      </c>
      <c r="H52" s="51"/>
      <c r="I52" s="168"/>
      <c r="J52" s="63"/>
      <c r="K52" s="191"/>
      <c r="L52" s="65"/>
      <c r="M52" s="67"/>
      <c r="N52" s="58"/>
      <c r="O52" s="168"/>
      <c r="P52" s="63"/>
      <c r="Q52" s="191"/>
      <c r="R52" s="65"/>
      <c r="S52" s="67"/>
      <c r="T52" s="58"/>
      <c r="U52" s="171"/>
      <c r="V52" s="63"/>
      <c r="W52" s="191"/>
      <c r="X52" s="65"/>
      <c r="Y52" s="67"/>
      <c r="Z52" s="58"/>
    </row>
    <row r="53" spans="1:29" s="39" customFormat="1" ht="13.8" x14ac:dyDescent="0.25">
      <c r="A53" s="89"/>
      <c r="B53" s="89"/>
      <c r="C53" s="188"/>
      <c r="D53" s="189"/>
      <c r="E53" s="188"/>
      <c r="F53" s="190"/>
      <c r="G53" s="106">
        <v>3</v>
      </c>
      <c r="H53" s="51"/>
      <c r="I53" s="168"/>
      <c r="J53" s="63"/>
      <c r="K53" s="191"/>
      <c r="L53" s="65"/>
      <c r="M53" s="67"/>
      <c r="N53" s="58"/>
      <c r="O53" s="168"/>
      <c r="P53" s="63"/>
      <c r="Q53" s="191"/>
      <c r="R53" s="65"/>
      <c r="S53" s="67"/>
      <c r="T53" s="58"/>
      <c r="U53" s="171"/>
      <c r="V53" s="63"/>
      <c r="W53" s="191"/>
      <c r="X53" s="65"/>
      <c r="Y53" s="67"/>
      <c r="Z53" s="58"/>
    </row>
    <row r="54" spans="1:29" s="39" customFormat="1" ht="13.8" x14ac:dyDescent="0.25">
      <c r="A54" s="89"/>
      <c r="B54" s="89"/>
      <c r="C54" s="188"/>
      <c r="D54" s="189"/>
      <c r="E54" s="188"/>
      <c r="F54" s="190"/>
      <c r="G54" s="106">
        <v>4</v>
      </c>
      <c r="H54" s="51"/>
      <c r="I54" s="168"/>
      <c r="J54" s="63"/>
      <c r="K54" s="191"/>
      <c r="L54" s="65"/>
      <c r="M54" s="67"/>
      <c r="N54" s="58"/>
      <c r="O54" s="168"/>
      <c r="P54" s="63"/>
      <c r="Q54" s="191"/>
      <c r="R54" s="65"/>
      <c r="S54" s="67"/>
      <c r="T54" s="58"/>
      <c r="U54" s="171"/>
      <c r="V54" s="63"/>
      <c r="W54" s="191"/>
      <c r="X54" s="65"/>
      <c r="Y54" s="67"/>
      <c r="Z54" s="58"/>
    </row>
    <row r="55" spans="1:29" s="39" customFormat="1" ht="13.8" x14ac:dyDescent="0.25">
      <c r="A55" s="89"/>
      <c r="B55" s="89"/>
      <c r="C55" s="188"/>
      <c r="D55" s="189"/>
      <c r="E55" s="188"/>
      <c r="F55" s="190"/>
      <c r="G55" s="106">
        <v>5</v>
      </c>
      <c r="H55" s="51"/>
      <c r="I55" s="168"/>
      <c r="J55" s="63"/>
      <c r="K55" s="191"/>
      <c r="L55" s="65"/>
      <c r="M55" s="67"/>
      <c r="N55" s="58"/>
      <c r="O55" s="168"/>
      <c r="P55" s="63"/>
      <c r="Q55" s="191"/>
      <c r="R55" s="65"/>
      <c r="S55" s="67"/>
      <c r="T55" s="58"/>
      <c r="U55" s="171"/>
      <c r="V55" s="63"/>
      <c r="W55" s="191"/>
      <c r="X55" s="65"/>
      <c r="Y55" s="67"/>
      <c r="Z55" s="58"/>
    </row>
    <row r="56" spans="1:29" s="39" customFormat="1" ht="13.8" x14ac:dyDescent="0.25">
      <c r="A56" s="89"/>
      <c r="B56" s="89"/>
      <c r="C56" s="188"/>
      <c r="D56" s="189"/>
      <c r="E56" s="188"/>
      <c r="F56" s="190"/>
      <c r="G56" s="106">
        <v>6</v>
      </c>
      <c r="H56" s="51"/>
      <c r="I56" s="168"/>
      <c r="J56" s="63"/>
      <c r="K56" s="191"/>
      <c r="L56" s="65"/>
      <c r="M56" s="67"/>
      <c r="N56" s="58"/>
      <c r="O56" s="168"/>
      <c r="P56" s="63"/>
      <c r="Q56" s="191"/>
      <c r="R56" s="65"/>
      <c r="S56" s="67"/>
      <c r="T56" s="58"/>
      <c r="U56" s="171"/>
      <c r="V56" s="63"/>
      <c r="W56" s="191"/>
      <c r="X56" s="65"/>
      <c r="Y56" s="67"/>
      <c r="Z56" s="58"/>
    </row>
    <row r="57" spans="1:29" s="39" customFormat="1" ht="13.8" x14ac:dyDescent="0.25">
      <c r="A57" s="89"/>
      <c r="B57" s="89"/>
      <c r="C57" s="188"/>
      <c r="D57" s="189"/>
      <c r="E57" s="188"/>
      <c r="F57" s="190"/>
      <c r="G57" s="106">
        <v>7</v>
      </c>
      <c r="H57" s="51"/>
      <c r="I57" s="168"/>
      <c r="J57" s="63"/>
      <c r="K57" s="191"/>
      <c r="L57" s="65"/>
      <c r="M57" s="67"/>
      <c r="N57" s="58"/>
      <c r="O57" s="168"/>
      <c r="P57" s="63"/>
      <c r="Q57" s="191"/>
      <c r="R57" s="65"/>
      <c r="S57" s="67"/>
      <c r="T57" s="58"/>
      <c r="U57" s="171"/>
      <c r="V57" s="63"/>
      <c r="W57" s="191"/>
      <c r="X57" s="65"/>
      <c r="Y57" s="67"/>
      <c r="Z57" s="58"/>
    </row>
    <row r="58" spans="1:29" s="39" customFormat="1" ht="13.8" x14ac:dyDescent="0.25">
      <c r="A58" s="89"/>
      <c r="B58" s="89"/>
      <c r="C58" s="188"/>
      <c r="D58" s="189"/>
      <c r="E58" s="188"/>
      <c r="F58" s="190"/>
      <c r="G58" s="106">
        <v>8</v>
      </c>
      <c r="H58" s="51"/>
      <c r="I58" s="168"/>
      <c r="J58" s="63"/>
      <c r="K58" s="191"/>
      <c r="L58" s="65"/>
      <c r="M58" s="67"/>
      <c r="N58" s="58"/>
      <c r="O58" s="168"/>
      <c r="P58" s="63"/>
      <c r="Q58" s="191"/>
      <c r="R58" s="65"/>
      <c r="S58" s="67"/>
      <c r="T58" s="58"/>
      <c r="U58" s="171"/>
      <c r="V58" s="63"/>
      <c r="W58" s="191"/>
      <c r="X58" s="65"/>
      <c r="Y58" s="67"/>
      <c r="Z58" s="58"/>
    </row>
    <row r="59" spans="1:29" s="39" customFormat="1" ht="13.8" x14ac:dyDescent="0.25">
      <c r="A59" s="89"/>
      <c r="B59" s="89"/>
      <c r="C59" s="188"/>
      <c r="D59" s="189"/>
      <c r="E59" s="188"/>
      <c r="F59" s="190"/>
      <c r="G59" s="106">
        <v>9</v>
      </c>
      <c r="H59" s="51"/>
      <c r="I59" s="168"/>
      <c r="J59" s="63"/>
      <c r="K59" s="191"/>
      <c r="L59" s="65"/>
      <c r="M59" s="67"/>
      <c r="N59" s="58"/>
      <c r="O59" s="168"/>
      <c r="P59" s="63"/>
      <c r="Q59" s="191"/>
      <c r="R59" s="65"/>
      <c r="S59" s="67"/>
      <c r="T59" s="58"/>
      <c r="U59" s="171"/>
      <c r="V59" s="63"/>
      <c r="W59" s="191"/>
      <c r="X59" s="65"/>
      <c r="Y59" s="67"/>
      <c r="Z59" s="58"/>
    </row>
    <row r="60" spans="1:29" s="39" customFormat="1" ht="13.8" x14ac:dyDescent="0.25">
      <c r="A60" s="89"/>
      <c r="B60" s="89"/>
      <c r="C60" s="188"/>
      <c r="D60" s="189"/>
      <c r="E60" s="188"/>
      <c r="F60" s="190"/>
      <c r="G60" s="106">
        <v>10</v>
      </c>
      <c r="H60" s="51"/>
      <c r="I60" s="168"/>
      <c r="J60" s="63"/>
      <c r="K60" s="191"/>
      <c r="L60" s="65"/>
      <c r="M60" s="67"/>
      <c r="N60" s="58"/>
      <c r="O60" s="168"/>
      <c r="P60" s="63"/>
      <c r="Q60" s="191"/>
      <c r="R60" s="65"/>
      <c r="S60" s="67"/>
      <c r="T60" s="58"/>
      <c r="U60" s="171"/>
      <c r="V60" s="63"/>
      <c r="W60" s="191"/>
      <c r="X60" s="65"/>
      <c r="Y60" s="67"/>
      <c r="Z60" s="58"/>
    </row>
    <row r="61" spans="1:29" s="39" customFormat="1" ht="13.8" x14ac:dyDescent="0.25">
      <c r="A61" s="89"/>
      <c r="B61" s="89"/>
      <c r="C61" s="188"/>
      <c r="D61" s="189"/>
      <c r="E61" s="188"/>
      <c r="F61" s="190"/>
      <c r="G61" s="106"/>
      <c r="H61" s="51"/>
      <c r="I61" s="168"/>
      <c r="J61" s="63"/>
      <c r="K61" s="191"/>
      <c r="L61" s="65"/>
      <c r="M61" s="67"/>
      <c r="N61" s="58"/>
      <c r="O61" s="168"/>
      <c r="P61" s="63"/>
      <c r="Q61" s="191"/>
      <c r="R61" s="65"/>
      <c r="S61" s="67"/>
      <c r="T61" s="58"/>
      <c r="U61" s="171"/>
      <c r="V61" s="63"/>
      <c r="W61" s="191"/>
      <c r="X61" s="65"/>
      <c r="Y61" s="67"/>
      <c r="Z61" s="58"/>
    </row>
    <row r="62" spans="1:29" s="39" customFormat="1" ht="13.8" x14ac:dyDescent="0.25">
      <c r="A62" s="126"/>
      <c r="B62" s="126"/>
      <c r="C62" s="181"/>
      <c r="D62" s="182"/>
      <c r="E62" s="181"/>
      <c r="F62" s="183"/>
      <c r="G62" s="184" t="s">
        <v>58</v>
      </c>
      <c r="H62" s="185" t="s">
        <v>373</v>
      </c>
      <c r="I62" s="168"/>
      <c r="J62" s="62"/>
      <c r="K62" s="186"/>
      <c r="L62" s="64"/>
      <c r="M62" s="66"/>
      <c r="N62" s="59"/>
      <c r="O62" s="168"/>
      <c r="P62" s="62"/>
      <c r="Q62" s="186"/>
      <c r="R62" s="64"/>
      <c r="S62" s="66"/>
      <c r="T62" s="59"/>
      <c r="U62" s="171"/>
      <c r="V62" s="62"/>
      <c r="W62" s="186"/>
      <c r="X62" s="64"/>
      <c r="Y62" s="66"/>
      <c r="Z62" s="59"/>
    </row>
    <row r="63" spans="1:29" s="39" customFormat="1" ht="13.8" x14ac:dyDescent="0.25">
      <c r="A63" s="89"/>
      <c r="B63" s="89"/>
      <c r="C63" s="188"/>
      <c r="D63" s="189"/>
      <c r="E63" s="188"/>
      <c r="F63" s="190"/>
      <c r="G63" s="106">
        <v>1</v>
      </c>
      <c r="H63" s="51"/>
      <c r="I63" s="168"/>
      <c r="J63" s="63"/>
      <c r="K63" s="191"/>
      <c r="L63" s="65"/>
      <c r="M63" s="67"/>
      <c r="N63" s="58"/>
      <c r="O63" s="168"/>
      <c r="P63" s="63"/>
      <c r="Q63" s="191"/>
      <c r="R63" s="65"/>
      <c r="S63" s="67"/>
      <c r="T63" s="58"/>
      <c r="U63" s="171"/>
      <c r="V63" s="63"/>
      <c r="W63" s="191"/>
      <c r="X63" s="65"/>
      <c r="Y63" s="67"/>
      <c r="Z63" s="58"/>
    </row>
    <row r="64" spans="1:29" s="39" customFormat="1" ht="13.8" x14ac:dyDescent="0.25">
      <c r="A64" s="89"/>
      <c r="B64" s="89"/>
      <c r="C64" s="188"/>
      <c r="D64" s="189"/>
      <c r="E64" s="188"/>
      <c r="F64" s="190"/>
      <c r="G64" s="106">
        <v>2</v>
      </c>
      <c r="H64" s="51"/>
      <c r="I64" s="168"/>
      <c r="J64" s="63"/>
      <c r="K64" s="191"/>
      <c r="L64" s="65"/>
      <c r="M64" s="67"/>
      <c r="N64" s="58"/>
      <c r="O64" s="168"/>
      <c r="P64" s="63"/>
      <c r="Q64" s="191"/>
      <c r="R64" s="65"/>
      <c r="S64" s="67"/>
      <c r="T64" s="58"/>
      <c r="U64" s="171"/>
      <c r="V64" s="63"/>
      <c r="W64" s="191"/>
      <c r="X64" s="65"/>
      <c r="Y64" s="67"/>
      <c r="Z64" s="58"/>
    </row>
    <row r="65" spans="1:29" s="39" customFormat="1" ht="13.8" x14ac:dyDescent="0.25">
      <c r="A65" s="89"/>
      <c r="B65" s="89"/>
      <c r="C65" s="188"/>
      <c r="D65" s="189"/>
      <c r="E65" s="188"/>
      <c r="F65" s="190"/>
      <c r="G65" s="106">
        <v>3</v>
      </c>
      <c r="H65" s="51"/>
      <c r="I65" s="168"/>
      <c r="J65" s="63"/>
      <c r="K65" s="191"/>
      <c r="L65" s="65"/>
      <c r="M65" s="67"/>
      <c r="N65" s="58"/>
      <c r="O65" s="168"/>
      <c r="P65" s="63"/>
      <c r="Q65" s="191"/>
      <c r="R65" s="65"/>
      <c r="S65" s="67"/>
      <c r="T65" s="58"/>
      <c r="U65" s="171"/>
      <c r="V65" s="63"/>
      <c r="W65" s="191"/>
      <c r="X65" s="65"/>
      <c r="Y65" s="67"/>
      <c r="Z65" s="58"/>
    </row>
    <row r="66" spans="1:29" s="39" customFormat="1" ht="13.8" x14ac:dyDescent="0.25">
      <c r="A66" s="89"/>
      <c r="B66" s="89"/>
      <c r="C66" s="188"/>
      <c r="D66" s="189"/>
      <c r="E66" s="188"/>
      <c r="F66" s="190"/>
      <c r="G66" s="106">
        <v>4</v>
      </c>
      <c r="H66" s="51"/>
      <c r="I66" s="168"/>
      <c r="J66" s="63"/>
      <c r="K66" s="191"/>
      <c r="L66" s="65"/>
      <c r="M66" s="67"/>
      <c r="N66" s="58"/>
      <c r="O66" s="168"/>
      <c r="P66" s="63"/>
      <c r="Q66" s="191"/>
      <c r="R66" s="65"/>
      <c r="S66" s="67"/>
      <c r="T66" s="58"/>
      <c r="U66" s="171"/>
      <c r="V66" s="63"/>
      <c r="W66" s="191"/>
      <c r="X66" s="65"/>
      <c r="Y66" s="67"/>
      <c r="Z66" s="58"/>
    </row>
    <row r="67" spans="1:29" s="39" customFormat="1" ht="13.8" x14ac:dyDescent="0.25">
      <c r="A67" s="89"/>
      <c r="B67" s="89"/>
      <c r="C67" s="188"/>
      <c r="D67" s="189"/>
      <c r="E67" s="188"/>
      <c r="F67" s="190"/>
      <c r="G67" s="106">
        <v>5</v>
      </c>
      <c r="H67" s="51"/>
      <c r="I67" s="168"/>
      <c r="J67" s="63"/>
      <c r="K67" s="191"/>
      <c r="L67" s="65"/>
      <c r="M67" s="67"/>
      <c r="N67" s="58"/>
      <c r="O67" s="168"/>
      <c r="P67" s="63"/>
      <c r="Q67" s="191"/>
      <c r="R67" s="65"/>
      <c r="S67" s="67"/>
      <c r="T67" s="58"/>
      <c r="U67" s="171"/>
      <c r="V67" s="63"/>
      <c r="W67" s="191"/>
      <c r="X67" s="65"/>
      <c r="Y67" s="67"/>
      <c r="Z67" s="58"/>
    </row>
    <row r="68" spans="1:29" s="39" customFormat="1" ht="13.8" x14ac:dyDescent="0.25">
      <c r="A68" s="89"/>
      <c r="B68" s="89"/>
      <c r="C68" s="188"/>
      <c r="D68" s="189"/>
      <c r="E68" s="188"/>
      <c r="F68" s="190"/>
      <c r="G68" s="106"/>
      <c r="H68" s="51"/>
      <c r="I68" s="168"/>
      <c r="J68" s="63"/>
      <c r="K68" s="191"/>
      <c r="L68" s="65"/>
      <c r="M68" s="67"/>
      <c r="N68" s="58"/>
      <c r="O68" s="168"/>
      <c r="P68" s="63"/>
      <c r="Q68" s="191"/>
      <c r="R68" s="65"/>
      <c r="S68" s="67"/>
      <c r="T68" s="58"/>
      <c r="U68" s="171"/>
      <c r="V68" s="63"/>
      <c r="W68" s="191"/>
      <c r="X68" s="65"/>
      <c r="Y68" s="67"/>
      <c r="Z68" s="58"/>
    </row>
    <row r="69" spans="1:29" s="39" customFormat="1" ht="13.8" hidden="1" outlineLevel="1" x14ac:dyDescent="0.25">
      <c r="A69" s="90"/>
      <c r="B69" s="90"/>
      <c r="C69" s="194"/>
      <c r="D69" s="195"/>
      <c r="E69" s="194"/>
      <c r="F69" s="196"/>
      <c r="G69" s="184" t="s">
        <v>61</v>
      </c>
      <c r="H69" s="185" t="s">
        <v>86</v>
      </c>
      <c r="I69" s="168"/>
      <c r="J69" s="62"/>
      <c r="K69" s="186"/>
      <c r="L69" s="64"/>
      <c r="M69" s="66"/>
      <c r="N69" s="59"/>
      <c r="O69" s="168"/>
      <c r="P69" s="62"/>
      <c r="Q69" s="186"/>
      <c r="R69" s="64"/>
      <c r="S69" s="66"/>
      <c r="T69" s="59"/>
      <c r="U69" s="171"/>
      <c r="V69" s="62"/>
      <c r="W69" s="186"/>
      <c r="X69" s="64"/>
      <c r="Y69" s="66"/>
      <c r="Z69" s="59"/>
      <c r="AA69" s="38"/>
      <c r="AB69" s="38"/>
      <c r="AC69" s="38"/>
    </row>
    <row r="70" spans="1:29" s="39" customFormat="1" ht="13.8" hidden="1" outlineLevel="1" x14ac:dyDescent="0.25">
      <c r="A70" s="89"/>
      <c r="B70" s="89"/>
      <c r="C70" s="188"/>
      <c r="D70" s="189"/>
      <c r="E70" s="188"/>
      <c r="F70" s="190"/>
      <c r="G70" s="106">
        <v>1</v>
      </c>
      <c r="H70" s="197" t="s">
        <v>59</v>
      </c>
      <c r="I70" s="168"/>
      <c r="J70" s="63"/>
      <c r="K70" s="191"/>
      <c r="L70" s="65"/>
      <c r="M70" s="67"/>
      <c r="N70" s="58"/>
      <c r="O70" s="168"/>
      <c r="P70" s="63"/>
      <c r="Q70" s="191"/>
      <c r="R70" s="65"/>
      <c r="S70" s="67"/>
      <c r="T70" s="58"/>
      <c r="U70" s="171"/>
      <c r="V70" s="63"/>
      <c r="W70" s="191"/>
      <c r="X70" s="65"/>
      <c r="Y70" s="67"/>
      <c r="Z70" s="58"/>
      <c r="AA70" s="38"/>
      <c r="AB70" s="38"/>
      <c r="AC70" s="38"/>
    </row>
    <row r="71" spans="1:29" s="39" customFormat="1" ht="13.8" hidden="1" outlineLevel="1" x14ac:dyDescent="0.25">
      <c r="A71" s="89"/>
      <c r="B71" s="89"/>
      <c r="C71" s="188"/>
      <c r="D71" s="189"/>
      <c r="E71" s="188"/>
      <c r="F71" s="190"/>
      <c r="G71" s="106">
        <v>2</v>
      </c>
      <c r="H71" s="51" t="s">
        <v>60</v>
      </c>
      <c r="I71" s="168"/>
      <c r="J71" s="63"/>
      <c r="K71" s="191"/>
      <c r="L71" s="65"/>
      <c r="M71" s="67"/>
      <c r="N71" s="58"/>
      <c r="O71" s="168"/>
      <c r="P71" s="63"/>
      <c r="Q71" s="191"/>
      <c r="R71" s="65"/>
      <c r="S71" s="67"/>
      <c r="T71" s="58"/>
      <c r="U71" s="171"/>
      <c r="V71" s="63"/>
      <c r="W71" s="191"/>
      <c r="X71" s="65"/>
      <c r="Y71" s="67"/>
      <c r="Z71" s="58"/>
    </row>
    <row r="72" spans="1:29" s="39" customFormat="1" ht="13.8" hidden="1" outlineLevel="1" x14ac:dyDescent="0.25">
      <c r="A72" s="89"/>
      <c r="B72" s="89"/>
      <c r="C72" s="188"/>
      <c r="D72" s="189"/>
      <c r="E72" s="188"/>
      <c r="F72" s="190"/>
      <c r="G72" s="106">
        <v>3</v>
      </c>
      <c r="H72" s="51" t="s">
        <v>330</v>
      </c>
      <c r="I72" s="168"/>
      <c r="J72" s="63"/>
      <c r="K72" s="191"/>
      <c r="L72" s="65"/>
      <c r="M72" s="67"/>
      <c r="N72" s="58"/>
      <c r="O72" s="168"/>
      <c r="P72" s="63"/>
      <c r="Q72" s="191"/>
      <c r="R72" s="65"/>
      <c r="S72" s="67"/>
      <c r="T72" s="58"/>
      <c r="U72" s="171"/>
      <c r="V72" s="63"/>
      <c r="W72" s="191"/>
      <c r="X72" s="65"/>
      <c r="Y72" s="67"/>
      <c r="Z72" s="58"/>
    </row>
    <row r="73" spans="1:29" s="39" customFormat="1" ht="13.8" hidden="1" outlineLevel="1" x14ac:dyDescent="0.25">
      <c r="A73" s="89"/>
      <c r="B73" s="89"/>
      <c r="C73" s="188"/>
      <c r="D73" s="189"/>
      <c r="E73" s="188"/>
      <c r="F73" s="190"/>
      <c r="G73" s="106"/>
      <c r="H73" s="51" t="s">
        <v>95</v>
      </c>
      <c r="I73" s="168"/>
      <c r="J73" s="63"/>
      <c r="K73" s="191"/>
      <c r="L73" s="65"/>
      <c r="M73" s="67"/>
      <c r="N73" s="58"/>
      <c r="O73" s="168"/>
      <c r="P73" s="63"/>
      <c r="Q73" s="191"/>
      <c r="R73" s="65"/>
      <c r="S73" s="67"/>
      <c r="T73" s="58"/>
      <c r="U73" s="171"/>
      <c r="V73" s="63"/>
      <c r="W73" s="191"/>
      <c r="X73" s="65"/>
      <c r="Y73" s="67"/>
      <c r="Z73" s="58"/>
    </row>
    <row r="74" spans="1:29" s="39" customFormat="1" ht="13.8" hidden="1" outlineLevel="1" x14ac:dyDescent="0.25">
      <c r="A74" s="90"/>
      <c r="B74" s="90"/>
      <c r="C74" s="194"/>
      <c r="D74" s="195"/>
      <c r="E74" s="194"/>
      <c r="F74" s="196"/>
      <c r="G74" s="184" t="s">
        <v>87</v>
      </c>
      <c r="H74" s="185" t="s">
        <v>85</v>
      </c>
      <c r="I74" s="168"/>
      <c r="J74" s="62"/>
      <c r="K74" s="186"/>
      <c r="L74" s="64"/>
      <c r="M74" s="66"/>
      <c r="N74" s="59"/>
      <c r="O74" s="168"/>
      <c r="P74" s="62"/>
      <c r="Q74" s="186"/>
      <c r="R74" s="64"/>
      <c r="S74" s="66"/>
      <c r="T74" s="59"/>
      <c r="U74" s="171"/>
      <c r="V74" s="62"/>
      <c r="W74" s="186"/>
      <c r="X74" s="64"/>
      <c r="Y74" s="66"/>
      <c r="Z74" s="59"/>
      <c r="AA74" s="38"/>
      <c r="AB74" s="38"/>
      <c r="AC74" s="38"/>
    </row>
    <row r="75" spans="1:29" s="39" customFormat="1" ht="13.8" hidden="1" outlineLevel="1" x14ac:dyDescent="0.25">
      <c r="A75" s="89"/>
      <c r="B75" s="89"/>
      <c r="C75" s="188"/>
      <c r="D75" s="189"/>
      <c r="E75" s="188"/>
      <c r="F75" s="190"/>
      <c r="G75" s="106">
        <v>1</v>
      </c>
      <c r="H75" s="51" t="s">
        <v>297</v>
      </c>
      <c r="I75" s="168"/>
      <c r="J75" s="63"/>
      <c r="K75" s="191"/>
      <c r="L75" s="65"/>
      <c r="M75" s="67"/>
      <c r="N75" s="58"/>
      <c r="O75" s="168"/>
      <c r="P75" s="63"/>
      <c r="Q75" s="191"/>
      <c r="R75" s="65"/>
      <c r="S75" s="67"/>
      <c r="T75" s="58"/>
      <c r="U75" s="171"/>
      <c r="V75" s="63"/>
      <c r="W75" s="191"/>
      <c r="X75" s="65"/>
      <c r="Y75" s="67"/>
      <c r="Z75" s="58"/>
      <c r="AA75" s="38"/>
      <c r="AB75" s="38"/>
      <c r="AC75" s="38"/>
    </row>
    <row r="76" spans="1:29" s="39" customFormat="1" ht="13.8" hidden="1" outlineLevel="1" x14ac:dyDescent="0.25">
      <c r="A76" s="89"/>
      <c r="B76" s="89"/>
      <c r="C76" s="188"/>
      <c r="D76" s="189"/>
      <c r="E76" s="188"/>
      <c r="F76" s="190"/>
      <c r="G76" s="106">
        <v>2</v>
      </c>
      <c r="H76" s="51" t="s">
        <v>331</v>
      </c>
      <c r="I76" s="168"/>
      <c r="J76" s="63"/>
      <c r="K76" s="191"/>
      <c r="L76" s="65"/>
      <c r="M76" s="67"/>
      <c r="N76" s="58"/>
      <c r="O76" s="168"/>
      <c r="P76" s="63"/>
      <c r="Q76" s="191"/>
      <c r="R76" s="65"/>
      <c r="S76" s="67"/>
      <c r="T76" s="58"/>
      <c r="U76" s="171"/>
      <c r="V76" s="63"/>
      <c r="W76" s="191"/>
      <c r="X76" s="65"/>
      <c r="Y76" s="67"/>
      <c r="Z76" s="58"/>
    </row>
    <row r="77" spans="1:29" s="39" customFormat="1" ht="13.8" hidden="1" outlineLevel="1" x14ac:dyDescent="0.25">
      <c r="A77" s="89"/>
      <c r="B77" s="89"/>
      <c r="C77" s="188"/>
      <c r="D77" s="189"/>
      <c r="E77" s="188"/>
      <c r="F77" s="190"/>
      <c r="G77" s="106">
        <v>3</v>
      </c>
      <c r="H77" s="51" t="s">
        <v>332</v>
      </c>
      <c r="I77" s="168"/>
      <c r="J77" s="63"/>
      <c r="K77" s="191"/>
      <c r="L77" s="65"/>
      <c r="M77" s="67"/>
      <c r="N77" s="58"/>
      <c r="O77" s="168"/>
      <c r="P77" s="63"/>
      <c r="Q77" s="191"/>
      <c r="R77" s="65"/>
      <c r="S77" s="67"/>
      <c r="T77" s="58"/>
      <c r="U77" s="171"/>
      <c r="V77" s="63"/>
      <c r="W77" s="191"/>
      <c r="X77" s="65"/>
      <c r="Y77" s="67"/>
      <c r="Z77" s="58"/>
    </row>
    <row r="78" spans="1:29" s="39" customFormat="1" ht="13.8" hidden="1" outlineLevel="1" x14ac:dyDescent="0.25">
      <c r="A78" s="89"/>
      <c r="B78" s="89"/>
      <c r="C78" s="188"/>
      <c r="D78" s="189"/>
      <c r="E78" s="188"/>
      <c r="F78" s="190"/>
      <c r="G78" s="106">
        <v>4</v>
      </c>
      <c r="H78" s="51" t="s">
        <v>333</v>
      </c>
      <c r="I78" s="168"/>
      <c r="J78" s="63"/>
      <c r="K78" s="191"/>
      <c r="L78" s="65"/>
      <c r="M78" s="67"/>
      <c r="N78" s="58"/>
      <c r="O78" s="168"/>
      <c r="P78" s="63"/>
      <c r="Q78" s="191"/>
      <c r="R78" s="65"/>
      <c r="S78" s="67"/>
      <c r="T78" s="58"/>
      <c r="U78" s="171"/>
      <c r="V78" s="63"/>
      <c r="W78" s="191"/>
      <c r="X78" s="65"/>
      <c r="Y78" s="67"/>
      <c r="Z78" s="58"/>
    </row>
    <row r="79" spans="1:29" s="39" customFormat="1" ht="13.8" hidden="1" outlineLevel="1" x14ac:dyDescent="0.25">
      <c r="A79" s="89"/>
      <c r="B79" s="89"/>
      <c r="C79" s="188"/>
      <c r="D79" s="189"/>
      <c r="E79" s="188"/>
      <c r="F79" s="190"/>
      <c r="G79" s="106">
        <v>5</v>
      </c>
      <c r="H79" s="51" t="s">
        <v>62</v>
      </c>
      <c r="I79" s="168"/>
      <c r="J79" s="63"/>
      <c r="K79" s="191"/>
      <c r="L79" s="65"/>
      <c r="M79" s="67"/>
      <c r="N79" s="58"/>
      <c r="O79" s="168"/>
      <c r="P79" s="63"/>
      <c r="Q79" s="191"/>
      <c r="R79" s="65"/>
      <c r="S79" s="67"/>
      <c r="T79" s="58"/>
      <c r="U79" s="171"/>
      <c r="V79" s="63"/>
      <c r="W79" s="191"/>
      <c r="X79" s="65"/>
      <c r="Y79" s="67"/>
      <c r="Z79" s="58"/>
    </row>
    <row r="80" spans="1:29" s="39" customFormat="1" ht="13.8" hidden="1" outlineLevel="1" x14ac:dyDescent="0.25">
      <c r="A80" s="89"/>
      <c r="B80" s="89"/>
      <c r="C80" s="188"/>
      <c r="D80" s="189"/>
      <c r="E80" s="188"/>
      <c r="F80" s="190"/>
      <c r="G80" s="106">
        <v>6</v>
      </c>
      <c r="H80" s="51" t="s">
        <v>63</v>
      </c>
      <c r="I80" s="168"/>
      <c r="J80" s="63"/>
      <c r="K80" s="191"/>
      <c r="L80" s="65"/>
      <c r="M80" s="67"/>
      <c r="N80" s="58"/>
      <c r="O80" s="168"/>
      <c r="P80" s="63"/>
      <c r="Q80" s="191"/>
      <c r="R80" s="65"/>
      <c r="S80" s="67"/>
      <c r="T80" s="58"/>
      <c r="U80" s="171"/>
      <c r="V80" s="63"/>
      <c r="W80" s="191"/>
      <c r="X80" s="65"/>
      <c r="Y80" s="67"/>
      <c r="Z80" s="58"/>
    </row>
    <row r="81" spans="1:26" s="39" customFormat="1" ht="13.8" hidden="1" outlineLevel="1" x14ac:dyDescent="0.25">
      <c r="A81" s="89"/>
      <c r="B81" s="89"/>
      <c r="C81" s="188"/>
      <c r="D81" s="189"/>
      <c r="E81" s="188"/>
      <c r="F81" s="190"/>
      <c r="G81" s="106">
        <v>7</v>
      </c>
      <c r="H81" s="51" t="s">
        <v>64</v>
      </c>
      <c r="I81" s="168"/>
      <c r="J81" s="63"/>
      <c r="K81" s="191"/>
      <c r="L81" s="65"/>
      <c r="M81" s="67"/>
      <c r="N81" s="58"/>
      <c r="O81" s="168"/>
      <c r="P81" s="63"/>
      <c r="Q81" s="191"/>
      <c r="R81" s="65"/>
      <c r="S81" s="67"/>
      <c r="T81" s="58"/>
      <c r="U81" s="171"/>
      <c r="V81" s="63"/>
      <c r="W81" s="191"/>
      <c r="X81" s="65"/>
      <c r="Y81" s="67"/>
      <c r="Z81" s="58"/>
    </row>
    <row r="82" spans="1:26" s="39" customFormat="1" ht="13.8" hidden="1" outlineLevel="1" x14ac:dyDescent="0.25">
      <c r="A82" s="89"/>
      <c r="B82" s="89"/>
      <c r="C82" s="188"/>
      <c r="D82" s="189"/>
      <c r="E82" s="188"/>
      <c r="F82" s="190"/>
      <c r="G82" s="106">
        <v>8</v>
      </c>
      <c r="H82" s="51" t="s">
        <v>65</v>
      </c>
      <c r="I82" s="168"/>
      <c r="J82" s="63"/>
      <c r="K82" s="191"/>
      <c r="L82" s="65"/>
      <c r="M82" s="67"/>
      <c r="N82" s="58"/>
      <c r="O82" s="168"/>
      <c r="P82" s="63"/>
      <c r="Q82" s="191"/>
      <c r="R82" s="65"/>
      <c r="S82" s="67"/>
      <c r="T82" s="58"/>
      <c r="U82" s="171"/>
      <c r="V82" s="63"/>
      <c r="W82" s="191"/>
      <c r="X82" s="65"/>
      <c r="Y82" s="67"/>
      <c r="Z82" s="58"/>
    </row>
    <row r="83" spans="1:26" s="39" customFormat="1" ht="13.8" hidden="1" outlineLevel="1" x14ac:dyDescent="0.25">
      <c r="A83" s="89"/>
      <c r="B83" s="89"/>
      <c r="C83" s="188"/>
      <c r="D83" s="189"/>
      <c r="E83" s="188"/>
      <c r="F83" s="190"/>
      <c r="G83" s="106">
        <v>9</v>
      </c>
      <c r="H83" s="51" t="s">
        <v>66</v>
      </c>
      <c r="I83" s="168"/>
      <c r="J83" s="63"/>
      <c r="K83" s="191"/>
      <c r="L83" s="65"/>
      <c r="M83" s="67"/>
      <c r="N83" s="58"/>
      <c r="O83" s="168"/>
      <c r="P83" s="63"/>
      <c r="Q83" s="191"/>
      <c r="R83" s="65"/>
      <c r="S83" s="67"/>
      <c r="T83" s="58"/>
      <c r="U83" s="171"/>
      <c r="V83" s="63"/>
      <c r="W83" s="191"/>
      <c r="X83" s="65"/>
      <c r="Y83" s="67"/>
      <c r="Z83" s="58"/>
    </row>
    <row r="84" spans="1:26" s="39" customFormat="1" ht="21" hidden="1" outlineLevel="1" x14ac:dyDescent="0.25">
      <c r="A84" s="89"/>
      <c r="B84" s="89"/>
      <c r="C84" s="188"/>
      <c r="D84" s="189"/>
      <c r="E84" s="188"/>
      <c r="F84" s="190"/>
      <c r="G84" s="106">
        <v>10</v>
      </c>
      <c r="H84" s="51" t="s">
        <v>338</v>
      </c>
      <c r="I84" s="168"/>
      <c r="J84" s="63"/>
      <c r="K84" s="191"/>
      <c r="L84" s="65"/>
      <c r="M84" s="67"/>
      <c r="N84" s="58"/>
      <c r="O84" s="168"/>
      <c r="P84" s="63"/>
      <c r="Q84" s="191"/>
      <c r="R84" s="65"/>
      <c r="S84" s="67"/>
      <c r="T84" s="58"/>
      <c r="U84" s="171"/>
      <c r="V84" s="63"/>
      <c r="W84" s="191"/>
      <c r="X84" s="65"/>
      <c r="Y84" s="67"/>
      <c r="Z84" s="58"/>
    </row>
    <row r="85" spans="1:26" s="39" customFormat="1" ht="21" hidden="1" outlineLevel="1" x14ac:dyDescent="0.25">
      <c r="A85" s="89"/>
      <c r="B85" s="89"/>
      <c r="C85" s="188"/>
      <c r="D85" s="189"/>
      <c r="E85" s="188"/>
      <c r="F85" s="190"/>
      <c r="G85" s="106">
        <v>11</v>
      </c>
      <c r="H85" s="51" t="s">
        <v>339</v>
      </c>
      <c r="I85" s="168"/>
      <c r="J85" s="63"/>
      <c r="K85" s="191"/>
      <c r="L85" s="65"/>
      <c r="M85" s="67"/>
      <c r="N85" s="58"/>
      <c r="O85" s="168"/>
      <c r="P85" s="63"/>
      <c r="Q85" s="191"/>
      <c r="R85" s="65"/>
      <c r="S85" s="67"/>
      <c r="T85" s="58"/>
      <c r="U85" s="171"/>
      <c r="V85" s="63"/>
      <c r="W85" s="191"/>
      <c r="X85" s="65"/>
      <c r="Y85" s="67"/>
      <c r="Z85" s="58"/>
    </row>
    <row r="86" spans="1:26" s="39" customFormat="1" ht="13.8" hidden="1" outlineLevel="1" x14ac:dyDescent="0.25">
      <c r="A86" s="89"/>
      <c r="B86" s="89"/>
      <c r="C86" s="188"/>
      <c r="D86" s="189"/>
      <c r="E86" s="188"/>
      <c r="F86" s="190"/>
      <c r="G86" s="106">
        <v>12</v>
      </c>
      <c r="H86" s="51" t="s">
        <v>334</v>
      </c>
      <c r="I86" s="168"/>
      <c r="J86" s="63"/>
      <c r="K86" s="191"/>
      <c r="L86" s="65"/>
      <c r="M86" s="67"/>
      <c r="N86" s="58"/>
      <c r="O86" s="168"/>
      <c r="P86" s="63"/>
      <c r="Q86" s="191"/>
      <c r="R86" s="65"/>
      <c r="S86" s="67"/>
      <c r="T86" s="58"/>
      <c r="U86" s="171"/>
      <c r="V86" s="63"/>
      <c r="W86" s="191"/>
      <c r="X86" s="65"/>
      <c r="Y86" s="67"/>
      <c r="Z86" s="58"/>
    </row>
    <row r="87" spans="1:26" s="39" customFormat="1" ht="13.8" hidden="1" outlineLevel="1" x14ac:dyDescent="0.25">
      <c r="A87" s="89"/>
      <c r="B87" s="89"/>
      <c r="C87" s="188"/>
      <c r="D87" s="189"/>
      <c r="E87" s="188"/>
      <c r="F87" s="190"/>
      <c r="G87" s="106">
        <v>13</v>
      </c>
      <c r="H87" s="51" t="s">
        <v>67</v>
      </c>
      <c r="I87" s="168"/>
      <c r="J87" s="63"/>
      <c r="K87" s="191"/>
      <c r="L87" s="65"/>
      <c r="M87" s="67"/>
      <c r="N87" s="58"/>
      <c r="O87" s="168"/>
      <c r="P87" s="63"/>
      <c r="Q87" s="191"/>
      <c r="R87" s="65"/>
      <c r="S87" s="67"/>
      <c r="T87" s="58"/>
      <c r="U87" s="171"/>
      <c r="V87" s="63"/>
      <c r="W87" s="191"/>
      <c r="X87" s="65"/>
      <c r="Y87" s="67"/>
      <c r="Z87" s="58"/>
    </row>
    <row r="88" spans="1:26" s="39" customFormat="1" ht="21" hidden="1" outlineLevel="1" x14ac:dyDescent="0.25">
      <c r="A88" s="89"/>
      <c r="B88" s="89"/>
      <c r="C88" s="188"/>
      <c r="D88" s="189"/>
      <c r="E88" s="188"/>
      <c r="F88" s="190"/>
      <c r="G88" s="106">
        <v>14</v>
      </c>
      <c r="H88" s="51" t="s">
        <v>68</v>
      </c>
      <c r="I88" s="168"/>
      <c r="J88" s="63"/>
      <c r="K88" s="191"/>
      <c r="L88" s="65"/>
      <c r="M88" s="67"/>
      <c r="N88" s="58"/>
      <c r="O88" s="168"/>
      <c r="P88" s="63"/>
      <c r="Q88" s="191"/>
      <c r="R88" s="65"/>
      <c r="S88" s="67"/>
      <c r="T88" s="58"/>
      <c r="U88" s="171"/>
      <c r="V88" s="63"/>
      <c r="W88" s="191"/>
      <c r="X88" s="65"/>
      <c r="Y88" s="67"/>
      <c r="Z88" s="58"/>
    </row>
    <row r="89" spans="1:26" s="39" customFormat="1" ht="13.8" hidden="1" outlineLevel="1" x14ac:dyDescent="0.25">
      <c r="A89" s="89"/>
      <c r="B89" s="89"/>
      <c r="C89" s="188"/>
      <c r="D89" s="189"/>
      <c r="E89" s="188"/>
      <c r="F89" s="190"/>
      <c r="G89" s="106">
        <v>15</v>
      </c>
      <c r="H89" s="51" t="s">
        <v>69</v>
      </c>
      <c r="I89" s="168"/>
      <c r="J89" s="63"/>
      <c r="K89" s="191"/>
      <c r="L89" s="65"/>
      <c r="M89" s="67"/>
      <c r="N89" s="58"/>
      <c r="O89" s="168"/>
      <c r="P89" s="63"/>
      <c r="Q89" s="191"/>
      <c r="R89" s="65"/>
      <c r="S89" s="67"/>
      <c r="T89" s="58"/>
      <c r="U89" s="171"/>
      <c r="V89" s="63"/>
      <c r="W89" s="191"/>
      <c r="X89" s="65"/>
      <c r="Y89" s="67"/>
      <c r="Z89" s="58"/>
    </row>
    <row r="90" spans="1:26" s="39" customFormat="1" ht="21" hidden="1" outlineLevel="1" x14ac:dyDescent="0.25">
      <c r="A90" s="89"/>
      <c r="B90" s="89"/>
      <c r="C90" s="188"/>
      <c r="D90" s="189"/>
      <c r="E90" s="188"/>
      <c r="F90" s="190"/>
      <c r="G90" s="106">
        <v>16</v>
      </c>
      <c r="H90" s="51" t="s">
        <v>340</v>
      </c>
      <c r="I90" s="168"/>
      <c r="J90" s="63"/>
      <c r="K90" s="191"/>
      <c r="L90" s="65"/>
      <c r="M90" s="67"/>
      <c r="N90" s="58"/>
      <c r="O90" s="168"/>
      <c r="P90" s="63"/>
      <c r="Q90" s="191"/>
      <c r="R90" s="65"/>
      <c r="S90" s="67"/>
      <c r="T90" s="58"/>
      <c r="U90" s="171"/>
      <c r="V90" s="63"/>
      <c r="W90" s="191"/>
      <c r="X90" s="65"/>
      <c r="Y90" s="67"/>
      <c r="Z90" s="58"/>
    </row>
    <row r="91" spans="1:26" s="39" customFormat="1" ht="21" hidden="1" outlineLevel="1" x14ac:dyDescent="0.25">
      <c r="A91" s="89"/>
      <c r="B91" s="89"/>
      <c r="C91" s="188"/>
      <c r="D91" s="189"/>
      <c r="E91" s="188"/>
      <c r="F91" s="190"/>
      <c r="G91" s="106">
        <v>17</v>
      </c>
      <c r="H91" s="51" t="s">
        <v>70</v>
      </c>
      <c r="I91" s="168"/>
      <c r="J91" s="63"/>
      <c r="K91" s="191"/>
      <c r="L91" s="65"/>
      <c r="M91" s="67"/>
      <c r="N91" s="58"/>
      <c r="O91" s="168"/>
      <c r="P91" s="63"/>
      <c r="Q91" s="191"/>
      <c r="R91" s="65"/>
      <c r="S91" s="67"/>
      <c r="T91" s="58"/>
      <c r="U91" s="171"/>
      <c r="V91" s="63"/>
      <c r="W91" s="191"/>
      <c r="X91" s="65"/>
      <c r="Y91" s="67"/>
      <c r="Z91" s="58"/>
    </row>
    <row r="92" spans="1:26" s="39" customFormat="1" ht="13.8" hidden="1" outlineLevel="1" x14ac:dyDescent="0.25">
      <c r="A92" s="89"/>
      <c r="B92" s="89"/>
      <c r="C92" s="188"/>
      <c r="D92" s="189"/>
      <c r="E92" s="188"/>
      <c r="F92" s="190"/>
      <c r="G92" s="106">
        <v>18</v>
      </c>
      <c r="H92" s="51" t="s">
        <v>71</v>
      </c>
      <c r="I92" s="168"/>
      <c r="J92" s="63"/>
      <c r="K92" s="191"/>
      <c r="L92" s="65"/>
      <c r="M92" s="67"/>
      <c r="N92" s="58"/>
      <c r="O92" s="168"/>
      <c r="P92" s="63"/>
      <c r="Q92" s="191"/>
      <c r="R92" s="65"/>
      <c r="S92" s="67"/>
      <c r="T92" s="58"/>
      <c r="U92" s="171"/>
      <c r="V92" s="63"/>
      <c r="W92" s="191"/>
      <c r="X92" s="65"/>
      <c r="Y92" s="67"/>
      <c r="Z92" s="58"/>
    </row>
    <row r="93" spans="1:26" s="39" customFormat="1" ht="13.8" hidden="1" outlineLevel="1" x14ac:dyDescent="0.25">
      <c r="A93" s="89"/>
      <c r="B93" s="89"/>
      <c r="C93" s="188"/>
      <c r="D93" s="189"/>
      <c r="E93" s="188"/>
      <c r="F93" s="190"/>
      <c r="G93" s="106">
        <v>19</v>
      </c>
      <c r="H93" s="51" t="s">
        <v>72</v>
      </c>
      <c r="I93" s="168"/>
      <c r="J93" s="63"/>
      <c r="K93" s="191"/>
      <c r="L93" s="65"/>
      <c r="M93" s="67"/>
      <c r="N93" s="58"/>
      <c r="O93" s="168"/>
      <c r="P93" s="63"/>
      <c r="Q93" s="191"/>
      <c r="R93" s="65"/>
      <c r="S93" s="67"/>
      <c r="T93" s="58"/>
      <c r="U93" s="171"/>
      <c r="V93" s="63"/>
      <c r="W93" s="191"/>
      <c r="X93" s="65"/>
      <c r="Y93" s="67"/>
      <c r="Z93" s="58"/>
    </row>
    <row r="94" spans="1:26" s="39" customFormat="1" ht="31.2" hidden="1" outlineLevel="1" x14ac:dyDescent="0.25">
      <c r="A94" s="89"/>
      <c r="B94" s="89"/>
      <c r="C94" s="188"/>
      <c r="D94" s="189"/>
      <c r="E94" s="188"/>
      <c r="F94" s="190"/>
      <c r="G94" s="106">
        <v>20</v>
      </c>
      <c r="H94" s="51" t="s">
        <v>73</v>
      </c>
      <c r="I94" s="168"/>
      <c r="J94" s="63"/>
      <c r="K94" s="191"/>
      <c r="L94" s="65"/>
      <c r="M94" s="67"/>
      <c r="N94" s="58"/>
      <c r="O94" s="168"/>
      <c r="P94" s="63"/>
      <c r="Q94" s="191"/>
      <c r="R94" s="65"/>
      <c r="S94" s="67"/>
      <c r="T94" s="58"/>
      <c r="U94" s="171"/>
      <c r="V94" s="63"/>
      <c r="W94" s="191"/>
      <c r="X94" s="65"/>
      <c r="Y94" s="67"/>
      <c r="Z94" s="58"/>
    </row>
    <row r="95" spans="1:26" s="39" customFormat="1" ht="21" hidden="1" outlineLevel="1" x14ac:dyDescent="0.25">
      <c r="A95" s="89"/>
      <c r="B95" s="89"/>
      <c r="C95" s="188"/>
      <c r="D95" s="189"/>
      <c r="E95" s="188"/>
      <c r="F95" s="190"/>
      <c r="G95" s="106">
        <v>21</v>
      </c>
      <c r="H95" s="51" t="s">
        <v>341</v>
      </c>
      <c r="I95" s="168"/>
      <c r="J95" s="63"/>
      <c r="K95" s="191"/>
      <c r="L95" s="65"/>
      <c r="M95" s="67"/>
      <c r="N95" s="58"/>
      <c r="O95" s="168"/>
      <c r="P95" s="63"/>
      <c r="Q95" s="191"/>
      <c r="R95" s="65"/>
      <c r="S95" s="67"/>
      <c r="T95" s="58"/>
      <c r="U95" s="171"/>
      <c r="V95" s="63"/>
      <c r="W95" s="191"/>
      <c r="X95" s="65"/>
      <c r="Y95" s="67"/>
      <c r="Z95" s="58"/>
    </row>
    <row r="96" spans="1:26" s="39" customFormat="1" ht="21" hidden="1" outlineLevel="1" x14ac:dyDescent="0.25">
      <c r="A96" s="89"/>
      <c r="B96" s="89"/>
      <c r="C96" s="188"/>
      <c r="D96" s="189"/>
      <c r="E96" s="188"/>
      <c r="F96" s="190"/>
      <c r="G96" s="106">
        <v>22</v>
      </c>
      <c r="H96" s="51" t="s">
        <v>342</v>
      </c>
      <c r="I96" s="168"/>
      <c r="J96" s="63"/>
      <c r="K96" s="191"/>
      <c r="L96" s="65"/>
      <c r="M96" s="67"/>
      <c r="N96" s="58"/>
      <c r="O96" s="168"/>
      <c r="P96" s="63"/>
      <c r="Q96" s="191"/>
      <c r="R96" s="65"/>
      <c r="S96" s="67"/>
      <c r="T96" s="58"/>
      <c r="U96" s="171"/>
      <c r="V96" s="63"/>
      <c r="W96" s="191"/>
      <c r="X96" s="65"/>
      <c r="Y96" s="67"/>
      <c r="Z96" s="58"/>
    </row>
    <row r="97" spans="1:26" s="39" customFormat="1" ht="13.8" hidden="1" outlineLevel="1" x14ac:dyDescent="0.25">
      <c r="A97" s="89"/>
      <c r="B97" s="89"/>
      <c r="C97" s="188"/>
      <c r="D97" s="189"/>
      <c r="E97" s="188"/>
      <c r="F97" s="190"/>
      <c r="G97" s="106">
        <v>23</v>
      </c>
      <c r="H97" s="51" t="s">
        <v>343</v>
      </c>
      <c r="I97" s="168"/>
      <c r="J97" s="63"/>
      <c r="K97" s="191"/>
      <c r="L97" s="65"/>
      <c r="M97" s="67"/>
      <c r="N97" s="58"/>
      <c r="O97" s="168"/>
      <c r="P97" s="63"/>
      <c r="Q97" s="191"/>
      <c r="R97" s="65"/>
      <c r="S97" s="67"/>
      <c r="T97" s="58"/>
      <c r="U97" s="171"/>
      <c r="V97" s="63"/>
      <c r="W97" s="191"/>
      <c r="X97" s="65"/>
      <c r="Y97" s="67"/>
      <c r="Z97" s="58"/>
    </row>
    <row r="98" spans="1:26" s="39" customFormat="1" ht="13.8" hidden="1" outlineLevel="1" x14ac:dyDescent="0.25">
      <c r="A98" s="89"/>
      <c r="B98" s="89"/>
      <c r="C98" s="188"/>
      <c r="D98" s="189"/>
      <c r="E98" s="188"/>
      <c r="F98" s="190"/>
      <c r="G98" s="106">
        <v>24</v>
      </c>
      <c r="H98" s="51" t="s">
        <v>74</v>
      </c>
      <c r="I98" s="168"/>
      <c r="J98" s="63"/>
      <c r="K98" s="191"/>
      <c r="L98" s="65"/>
      <c r="M98" s="67"/>
      <c r="N98" s="58"/>
      <c r="O98" s="168"/>
      <c r="P98" s="63"/>
      <c r="Q98" s="191"/>
      <c r="R98" s="65"/>
      <c r="S98" s="67"/>
      <c r="T98" s="58"/>
      <c r="U98" s="171"/>
      <c r="V98" s="63"/>
      <c r="W98" s="191"/>
      <c r="X98" s="65"/>
      <c r="Y98" s="67"/>
      <c r="Z98" s="58"/>
    </row>
    <row r="99" spans="1:26" s="39" customFormat="1" ht="13.8" hidden="1" outlineLevel="1" x14ac:dyDescent="0.25">
      <c r="A99" s="89"/>
      <c r="B99" s="89"/>
      <c r="C99" s="188"/>
      <c r="D99" s="189"/>
      <c r="E99" s="188"/>
      <c r="F99" s="190"/>
      <c r="G99" s="106">
        <v>25</v>
      </c>
      <c r="H99" s="51" t="s">
        <v>75</v>
      </c>
      <c r="I99" s="168"/>
      <c r="J99" s="63"/>
      <c r="K99" s="191"/>
      <c r="L99" s="65"/>
      <c r="M99" s="67"/>
      <c r="N99" s="58"/>
      <c r="O99" s="168"/>
      <c r="P99" s="63"/>
      <c r="Q99" s="191"/>
      <c r="R99" s="65"/>
      <c r="S99" s="67"/>
      <c r="T99" s="58"/>
      <c r="U99" s="171"/>
      <c r="V99" s="63"/>
      <c r="W99" s="191"/>
      <c r="X99" s="65"/>
      <c r="Y99" s="67"/>
      <c r="Z99" s="58"/>
    </row>
    <row r="100" spans="1:26" s="39" customFormat="1" ht="13.8" hidden="1" outlineLevel="1" x14ac:dyDescent="0.25">
      <c r="A100" s="89"/>
      <c r="B100" s="89"/>
      <c r="C100" s="188"/>
      <c r="D100" s="189"/>
      <c r="E100" s="188"/>
      <c r="F100" s="190"/>
      <c r="G100" s="106">
        <v>26</v>
      </c>
      <c r="H100" s="51" t="s">
        <v>76</v>
      </c>
      <c r="I100" s="168"/>
      <c r="J100" s="63"/>
      <c r="K100" s="191"/>
      <c r="L100" s="65"/>
      <c r="M100" s="67"/>
      <c r="N100" s="58"/>
      <c r="O100" s="168"/>
      <c r="P100" s="63"/>
      <c r="Q100" s="191"/>
      <c r="R100" s="65"/>
      <c r="S100" s="67"/>
      <c r="T100" s="58"/>
      <c r="U100" s="171"/>
      <c r="V100" s="63"/>
      <c r="W100" s="191"/>
      <c r="X100" s="65"/>
      <c r="Y100" s="67"/>
      <c r="Z100" s="58"/>
    </row>
    <row r="101" spans="1:26" s="39" customFormat="1" ht="13.8" hidden="1" outlineLevel="1" x14ac:dyDescent="0.25">
      <c r="A101" s="89"/>
      <c r="B101" s="89"/>
      <c r="C101" s="188"/>
      <c r="D101" s="189"/>
      <c r="E101" s="188"/>
      <c r="F101" s="190"/>
      <c r="G101" s="106">
        <v>27</v>
      </c>
      <c r="H101" s="51" t="s">
        <v>77</v>
      </c>
      <c r="I101" s="168"/>
      <c r="J101" s="63"/>
      <c r="K101" s="191"/>
      <c r="L101" s="65"/>
      <c r="M101" s="67"/>
      <c r="N101" s="58"/>
      <c r="O101" s="168"/>
      <c r="P101" s="63"/>
      <c r="Q101" s="191"/>
      <c r="R101" s="65"/>
      <c r="S101" s="67"/>
      <c r="T101" s="58"/>
      <c r="U101" s="171"/>
      <c r="V101" s="63"/>
      <c r="W101" s="191"/>
      <c r="X101" s="65"/>
      <c r="Y101" s="67"/>
      <c r="Z101" s="58"/>
    </row>
    <row r="102" spans="1:26" s="39" customFormat="1" ht="13.8" hidden="1" outlineLevel="1" x14ac:dyDescent="0.25">
      <c r="A102" s="89"/>
      <c r="B102" s="89"/>
      <c r="C102" s="188"/>
      <c r="D102" s="189"/>
      <c r="E102" s="188"/>
      <c r="F102" s="190"/>
      <c r="G102" s="106">
        <v>28</v>
      </c>
      <c r="H102" s="51" t="s">
        <v>78</v>
      </c>
      <c r="I102" s="168"/>
      <c r="J102" s="63"/>
      <c r="K102" s="191"/>
      <c r="L102" s="65"/>
      <c r="M102" s="67"/>
      <c r="N102" s="58"/>
      <c r="O102" s="168"/>
      <c r="P102" s="63"/>
      <c r="Q102" s="191"/>
      <c r="R102" s="65"/>
      <c r="S102" s="67"/>
      <c r="T102" s="58"/>
      <c r="U102" s="171"/>
      <c r="V102" s="63"/>
      <c r="W102" s="191"/>
      <c r="X102" s="65"/>
      <c r="Y102" s="67"/>
      <c r="Z102" s="58"/>
    </row>
    <row r="103" spans="1:26" s="39" customFormat="1" ht="13.8" hidden="1" outlineLevel="1" x14ac:dyDescent="0.25">
      <c r="A103" s="89"/>
      <c r="B103" s="89"/>
      <c r="C103" s="188"/>
      <c r="D103" s="189"/>
      <c r="E103" s="188"/>
      <c r="F103" s="190"/>
      <c r="G103" s="106">
        <v>29</v>
      </c>
      <c r="H103" s="51" t="s">
        <v>79</v>
      </c>
      <c r="I103" s="168"/>
      <c r="J103" s="63"/>
      <c r="K103" s="191"/>
      <c r="L103" s="65"/>
      <c r="M103" s="67"/>
      <c r="N103" s="58"/>
      <c r="O103" s="168"/>
      <c r="P103" s="63"/>
      <c r="Q103" s="191"/>
      <c r="R103" s="65"/>
      <c r="S103" s="67"/>
      <c r="T103" s="58"/>
      <c r="U103" s="171"/>
      <c r="V103" s="63"/>
      <c r="W103" s="191"/>
      <c r="X103" s="65"/>
      <c r="Y103" s="67"/>
      <c r="Z103" s="58"/>
    </row>
    <row r="104" spans="1:26" s="39" customFormat="1" ht="21" hidden="1" outlineLevel="1" x14ac:dyDescent="0.25">
      <c r="A104" s="89"/>
      <c r="B104" s="89"/>
      <c r="C104" s="188"/>
      <c r="D104" s="189"/>
      <c r="E104" s="188"/>
      <c r="F104" s="190"/>
      <c r="G104" s="106">
        <v>30</v>
      </c>
      <c r="H104" s="51" t="s">
        <v>335</v>
      </c>
      <c r="I104" s="168"/>
      <c r="J104" s="63"/>
      <c r="K104" s="191"/>
      <c r="L104" s="65"/>
      <c r="M104" s="67"/>
      <c r="N104" s="58"/>
      <c r="O104" s="168"/>
      <c r="P104" s="63"/>
      <c r="Q104" s="191"/>
      <c r="R104" s="65"/>
      <c r="S104" s="67"/>
      <c r="T104" s="58"/>
      <c r="U104" s="171"/>
      <c r="V104" s="63"/>
      <c r="W104" s="191"/>
      <c r="X104" s="65"/>
      <c r="Y104" s="67"/>
      <c r="Z104" s="58"/>
    </row>
    <row r="105" spans="1:26" s="39" customFormat="1" ht="13.8" hidden="1" outlineLevel="1" x14ac:dyDescent="0.25">
      <c r="A105" s="89"/>
      <c r="B105" s="89"/>
      <c r="C105" s="188"/>
      <c r="D105" s="189"/>
      <c r="E105" s="188"/>
      <c r="F105" s="190"/>
      <c r="G105" s="106">
        <v>31</v>
      </c>
      <c r="H105" s="51" t="s">
        <v>80</v>
      </c>
      <c r="I105" s="168"/>
      <c r="J105" s="63"/>
      <c r="K105" s="191"/>
      <c r="L105" s="65"/>
      <c r="M105" s="67"/>
      <c r="N105" s="58"/>
      <c r="O105" s="168"/>
      <c r="P105" s="63"/>
      <c r="Q105" s="191"/>
      <c r="R105" s="65"/>
      <c r="S105" s="67"/>
      <c r="T105" s="58"/>
      <c r="U105" s="171"/>
      <c r="V105" s="63"/>
      <c r="W105" s="191"/>
      <c r="X105" s="65"/>
      <c r="Y105" s="67"/>
      <c r="Z105" s="58"/>
    </row>
    <row r="106" spans="1:26" s="39" customFormat="1" ht="13.8" hidden="1" outlineLevel="1" x14ac:dyDescent="0.25">
      <c r="A106" s="89"/>
      <c r="B106" s="89"/>
      <c r="C106" s="188"/>
      <c r="D106" s="189"/>
      <c r="E106" s="188"/>
      <c r="F106" s="190"/>
      <c r="G106" s="106">
        <v>32</v>
      </c>
      <c r="H106" s="51" t="s">
        <v>344</v>
      </c>
      <c r="I106" s="168"/>
      <c r="J106" s="63"/>
      <c r="K106" s="191"/>
      <c r="L106" s="65"/>
      <c r="M106" s="67"/>
      <c r="N106" s="58"/>
      <c r="O106" s="168"/>
      <c r="P106" s="63"/>
      <c r="Q106" s="191"/>
      <c r="R106" s="65"/>
      <c r="S106" s="67"/>
      <c r="T106" s="58"/>
      <c r="U106" s="171"/>
      <c r="V106" s="63"/>
      <c r="W106" s="191"/>
      <c r="X106" s="65"/>
      <c r="Y106" s="67"/>
      <c r="Z106" s="58"/>
    </row>
    <row r="107" spans="1:26" s="39" customFormat="1" ht="13.8" hidden="1" outlineLevel="1" x14ac:dyDescent="0.25">
      <c r="A107" s="89"/>
      <c r="B107" s="89"/>
      <c r="C107" s="188"/>
      <c r="D107" s="189"/>
      <c r="E107" s="188"/>
      <c r="F107" s="190"/>
      <c r="G107" s="106">
        <v>33</v>
      </c>
      <c r="H107" s="51" t="s">
        <v>81</v>
      </c>
      <c r="I107" s="168"/>
      <c r="J107" s="63"/>
      <c r="K107" s="191"/>
      <c r="L107" s="65"/>
      <c r="M107" s="67"/>
      <c r="N107" s="58"/>
      <c r="O107" s="168"/>
      <c r="P107" s="63"/>
      <c r="Q107" s="191"/>
      <c r="R107" s="65"/>
      <c r="S107" s="67"/>
      <c r="T107" s="58"/>
      <c r="U107" s="171"/>
      <c r="V107" s="63"/>
      <c r="W107" s="191"/>
      <c r="X107" s="65"/>
      <c r="Y107" s="67"/>
      <c r="Z107" s="58"/>
    </row>
    <row r="108" spans="1:26" s="39" customFormat="1" ht="21" hidden="1" outlineLevel="1" x14ac:dyDescent="0.25">
      <c r="A108" s="89"/>
      <c r="B108" s="89"/>
      <c r="C108" s="188"/>
      <c r="D108" s="189"/>
      <c r="E108" s="188"/>
      <c r="F108" s="190"/>
      <c r="G108" s="106">
        <v>34</v>
      </c>
      <c r="H108" s="51" t="s">
        <v>82</v>
      </c>
      <c r="I108" s="168"/>
      <c r="J108" s="63"/>
      <c r="K108" s="191"/>
      <c r="L108" s="65"/>
      <c r="M108" s="67"/>
      <c r="N108" s="58"/>
      <c r="O108" s="168"/>
      <c r="P108" s="63"/>
      <c r="Q108" s="191"/>
      <c r="R108" s="65"/>
      <c r="S108" s="67"/>
      <c r="T108" s="58"/>
      <c r="U108" s="171"/>
      <c r="V108" s="63"/>
      <c r="W108" s="191"/>
      <c r="X108" s="65"/>
      <c r="Y108" s="67"/>
      <c r="Z108" s="58"/>
    </row>
    <row r="109" spans="1:26" s="39" customFormat="1" ht="13.8" hidden="1" outlineLevel="1" x14ac:dyDescent="0.25">
      <c r="A109" s="89"/>
      <c r="B109" s="89"/>
      <c r="C109" s="188"/>
      <c r="D109" s="189"/>
      <c r="E109" s="188"/>
      <c r="F109" s="190"/>
      <c r="G109" s="106">
        <v>35</v>
      </c>
      <c r="H109" s="51" t="s">
        <v>83</v>
      </c>
      <c r="I109" s="168"/>
      <c r="J109" s="63"/>
      <c r="K109" s="191"/>
      <c r="L109" s="65"/>
      <c r="M109" s="67"/>
      <c r="N109" s="58"/>
      <c r="O109" s="168"/>
      <c r="P109" s="63"/>
      <c r="Q109" s="191"/>
      <c r="R109" s="65"/>
      <c r="S109" s="67"/>
      <c r="T109" s="58"/>
      <c r="U109" s="171"/>
      <c r="V109" s="63"/>
      <c r="W109" s="191"/>
      <c r="X109" s="65"/>
      <c r="Y109" s="67"/>
      <c r="Z109" s="58"/>
    </row>
    <row r="110" spans="1:26" s="39" customFormat="1" ht="13.8" hidden="1" outlineLevel="1" x14ac:dyDescent="0.25">
      <c r="A110" s="89"/>
      <c r="B110" s="89"/>
      <c r="C110" s="188"/>
      <c r="D110" s="189"/>
      <c r="E110" s="188"/>
      <c r="F110" s="190"/>
      <c r="G110" s="106">
        <v>36</v>
      </c>
      <c r="H110" s="51" t="s">
        <v>84</v>
      </c>
      <c r="I110" s="168"/>
      <c r="J110" s="63"/>
      <c r="K110" s="191"/>
      <c r="L110" s="65"/>
      <c r="M110" s="67"/>
      <c r="N110" s="58"/>
      <c r="O110" s="168"/>
      <c r="P110" s="63"/>
      <c r="Q110" s="191"/>
      <c r="R110" s="65"/>
      <c r="S110" s="67"/>
      <c r="T110" s="58"/>
      <c r="U110" s="171"/>
      <c r="V110" s="63"/>
      <c r="W110" s="191"/>
      <c r="X110" s="65"/>
      <c r="Y110" s="67"/>
      <c r="Z110" s="58"/>
    </row>
    <row r="111" spans="1:26" s="39" customFormat="1" ht="21" hidden="1" outlineLevel="1" x14ac:dyDescent="0.25">
      <c r="A111" s="89"/>
      <c r="B111" s="89"/>
      <c r="C111" s="188"/>
      <c r="D111" s="189"/>
      <c r="E111" s="188"/>
      <c r="F111" s="190"/>
      <c r="G111" s="106">
        <v>37</v>
      </c>
      <c r="H111" s="51" t="s">
        <v>378</v>
      </c>
      <c r="I111" s="168"/>
      <c r="J111" s="63"/>
      <c r="K111" s="191"/>
      <c r="L111" s="65"/>
      <c r="M111" s="67"/>
      <c r="N111" s="58"/>
      <c r="O111" s="168"/>
      <c r="P111" s="63"/>
      <c r="Q111" s="191"/>
      <c r="R111" s="65"/>
      <c r="S111" s="67"/>
      <c r="T111" s="58"/>
      <c r="U111" s="171"/>
      <c r="V111" s="63"/>
      <c r="W111" s="191"/>
      <c r="X111" s="65"/>
      <c r="Y111" s="67"/>
      <c r="Z111" s="58"/>
    </row>
    <row r="112" spans="1:26" s="39" customFormat="1" ht="13.8" hidden="1" outlineLevel="1" x14ac:dyDescent="0.25">
      <c r="A112" s="89"/>
      <c r="B112" s="89"/>
      <c r="C112" s="188"/>
      <c r="D112" s="189"/>
      <c r="E112" s="188"/>
      <c r="F112" s="190"/>
      <c r="G112" s="106"/>
      <c r="H112" s="51" t="s">
        <v>95</v>
      </c>
      <c r="I112" s="168"/>
      <c r="J112" s="63"/>
      <c r="K112" s="191"/>
      <c r="L112" s="65"/>
      <c r="M112" s="67"/>
      <c r="N112" s="58"/>
      <c r="O112" s="168"/>
      <c r="P112" s="63"/>
      <c r="Q112" s="191"/>
      <c r="R112" s="65"/>
      <c r="S112" s="67"/>
      <c r="T112" s="58"/>
      <c r="U112" s="171"/>
      <c r="V112" s="63"/>
      <c r="W112" s="191"/>
      <c r="X112" s="65"/>
      <c r="Y112" s="67"/>
      <c r="Z112" s="58"/>
    </row>
    <row r="113" spans="1:29" s="39" customFormat="1" ht="13.8" hidden="1" outlineLevel="1" x14ac:dyDescent="0.25">
      <c r="A113" s="89"/>
      <c r="B113" s="89"/>
      <c r="C113" s="188"/>
      <c r="D113" s="189"/>
      <c r="E113" s="188"/>
      <c r="F113" s="190"/>
      <c r="G113" s="184" t="s">
        <v>93</v>
      </c>
      <c r="H113" s="185" t="s">
        <v>94</v>
      </c>
      <c r="I113" s="168"/>
      <c r="J113" s="62"/>
      <c r="K113" s="186"/>
      <c r="L113" s="64"/>
      <c r="M113" s="66"/>
      <c r="N113" s="59"/>
      <c r="O113" s="168"/>
      <c r="P113" s="62"/>
      <c r="Q113" s="186"/>
      <c r="R113" s="64"/>
      <c r="S113" s="66"/>
      <c r="T113" s="59"/>
      <c r="U113" s="171"/>
      <c r="V113" s="62"/>
      <c r="W113" s="186"/>
      <c r="X113" s="64"/>
      <c r="Y113" s="66"/>
      <c r="Z113" s="59"/>
      <c r="AA113" s="38"/>
      <c r="AB113" s="38"/>
      <c r="AC113" s="38"/>
    </row>
    <row r="114" spans="1:29" s="39" customFormat="1" ht="13.8" hidden="1" outlineLevel="1" x14ac:dyDescent="0.25">
      <c r="A114" s="89"/>
      <c r="B114" s="89"/>
      <c r="C114" s="188"/>
      <c r="D114" s="189"/>
      <c r="E114" s="188"/>
      <c r="F114" s="190"/>
      <c r="G114" s="106">
        <v>1</v>
      </c>
      <c r="H114" s="197" t="s">
        <v>382</v>
      </c>
      <c r="I114" s="168"/>
      <c r="J114" s="63"/>
      <c r="K114" s="191"/>
      <c r="L114" s="65"/>
      <c r="M114" s="67"/>
      <c r="N114" s="58"/>
      <c r="O114" s="168"/>
      <c r="P114" s="63"/>
      <c r="Q114" s="191"/>
      <c r="R114" s="65"/>
      <c r="S114" s="67"/>
      <c r="T114" s="58"/>
      <c r="U114" s="171"/>
      <c r="V114" s="63"/>
      <c r="W114" s="191"/>
      <c r="X114" s="65"/>
      <c r="Y114" s="67"/>
      <c r="Z114" s="58"/>
      <c r="AA114" s="38"/>
      <c r="AB114" s="38"/>
      <c r="AC114" s="38"/>
    </row>
    <row r="115" spans="1:29" s="39" customFormat="1" ht="13.8" hidden="1" outlineLevel="1" x14ac:dyDescent="0.25">
      <c r="A115" s="89"/>
      <c r="B115" s="89"/>
      <c r="C115" s="188"/>
      <c r="D115" s="189"/>
      <c r="E115" s="188"/>
      <c r="F115" s="190"/>
      <c r="G115" s="106">
        <v>2</v>
      </c>
      <c r="H115" s="197" t="s">
        <v>383</v>
      </c>
      <c r="I115" s="168"/>
      <c r="J115" s="63"/>
      <c r="K115" s="191"/>
      <c r="L115" s="65"/>
      <c r="M115" s="67"/>
      <c r="N115" s="58"/>
      <c r="O115" s="168"/>
      <c r="P115" s="63"/>
      <c r="Q115" s="191"/>
      <c r="R115" s="65"/>
      <c r="S115" s="67"/>
      <c r="T115" s="58"/>
      <c r="U115" s="171"/>
      <c r="V115" s="63"/>
      <c r="W115" s="191"/>
      <c r="X115" s="65"/>
      <c r="Y115" s="67"/>
      <c r="Z115" s="58"/>
    </row>
    <row r="116" spans="1:29" s="39" customFormat="1" ht="13.8" hidden="1" outlineLevel="1" x14ac:dyDescent="0.25">
      <c r="A116" s="89"/>
      <c r="B116" s="89"/>
      <c r="C116" s="188"/>
      <c r="D116" s="189"/>
      <c r="E116" s="188"/>
      <c r="F116" s="190"/>
      <c r="G116" s="106">
        <v>3</v>
      </c>
      <c r="H116" s="197" t="s">
        <v>392</v>
      </c>
      <c r="I116" s="168"/>
      <c r="J116" s="63"/>
      <c r="K116" s="191"/>
      <c r="L116" s="65"/>
      <c r="M116" s="67"/>
      <c r="N116" s="58"/>
      <c r="O116" s="168"/>
      <c r="P116" s="63"/>
      <c r="Q116" s="191"/>
      <c r="R116" s="65"/>
      <c r="S116" s="67"/>
      <c r="T116" s="58"/>
      <c r="U116" s="171"/>
      <c r="V116" s="63"/>
      <c r="W116" s="191"/>
      <c r="X116" s="65"/>
      <c r="Y116" s="67"/>
      <c r="Z116" s="58"/>
    </row>
    <row r="117" spans="1:29" s="39" customFormat="1" ht="13.8" hidden="1" outlineLevel="1" x14ac:dyDescent="0.25">
      <c r="A117" s="89"/>
      <c r="B117" s="89"/>
      <c r="C117" s="188"/>
      <c r="D117" s="189"/>
      <c r="E117" s="188"/>
      <c r="F117" s="190"/>
      <c r="G117" s="106">
        <v>4</v>
      </c>
      <c r="H117" s="197" t="s">
        <v>384</v>
      </c>
      <c r="I117" s="168"/>
      <c r="J117" s="63"/>
      <c r="K117" s="191"/>
      <c r="L117" s="65"/>
      <c r="M117" s="67"/>
      <c r="N117" s="58"/>
      <c r="O117" s="168"/>
      <c r="P117" s="63"/>
      <c r="Q117" s="191"/>
      <c r="R117" s="65"/>
      <c r="S117" s="67"/>
      <c r="T117" s="58"/>
      <c r="U117" s="171"/>
      <c r="V117" s="63"/>
      <c r="W117" s="191"/>
      <c r="X117" s="65"/>
      <c r="Y117" s="67"/>
      <c r="Z117" s="58"/>
    </row>
    <row r="118" spans="1:29" s="39" customFormat="1" ht="13.8" hidden="1" outlineLevel="1" x14ac:dyDescent="0.25">
      <c r="A118" s="89"/>
      <c r="B118" s="89"/>
      <c r="C118" s="188"/>
      <c r="D118" s="189"/>
      <c r="E118" s="188"/>
      <c r="F118" s="190"/>
      <c r="G118" s="106"/>
      <c r="H118" s="51" t="s">
        <v>95</v>
      </c>
      <c r="I118" s="168"/>
      <c r="J118" s="63"/>
      <c r="K118" s="191"/>
      <c r="L118" s="65"/>
      <c r="M118" s="67"/>
      <c r="N118" s="58"/>
      <c r="O118" s="168"/>
      <c r="P118" s="63"/>
      <c r="Q118" s="191"/>
      <c r="R118" s="65"/>
      <c r="S118" s="67"/>
      <c r="T118" s="58"/>
      <c r="U118" s="171"/>
      <c r="V118" s="63"/>
      <c r="W118" s="191"/>
      <c r="X118" s="65"/>
      <c r="Y118" s="67"/>
      <c r="Z118" s="58"/>
    </row>
    <row r="119" spans="1:29" s="39" customFormat="1" ht="13.8" hidden="1" outlineLevel="1" x14ac:dyDescent="0.25">
      <c r="A119" s="89"/>
      <c r="B119" s="89"/>
      <c r="C119" s="188"/>
      <c r="D119" s="189"/>
      <c r="E119" s="188"/>
      <c r="F119" s="190"/>
      <c r="G119" s="184" t="s">
        <v>96</v>
      </c>
      <c r="H119" s="185" t="s">
        <v>88</v>
      </c>
      <c r="I119" s="168"/>
      <c r="J119" s="62"/>
      <c r="K119" s="186"/>
      <c r="L119" s="64"/>
      <c r="M119" s="66"/>
      <c r="N119" s="59"/>
      <c r="O119" s="168"/>
      <c r="P119" s="62"/>
      <c r="Q119" s="186"/>
      <c r="R119" s="64"/>
      <c r="S119" s="66"/>
      <c r="T119" s="59"/>
      <c r="U119" s="171"/>
      <c r="V119" s="62"/>
      <c r="W119" s="186"/>
      <c r="X119" s="64"/>
      <c r="Y119" s="66"/>
      <c r="Z119" s="59"/>
      <c r="AA119" s="38"/>
      <c r="AB119" s="38"/>
      <c r="AC119" s="38"/>
    </row>
    <row r="120" spans="1:29" s="39" customFormat="1" ht="13.8" hidden="1" outlineLevel="1" x14ac:dyDescent="0.25">
      <c r="A120" s="89"/>
      <c r="B120" s="89"/>
      <c r="C120" s="188"/>
      <c r="D120" s="189"/>
      <c r="E120" s="188"/>
      <c r="F120" s="190"/>
      <c r="G120" s="106">
        <v>1</v>
      </c>
      <c r="H120" s="197" t="s">
        <v>89</v>
      </c>
      <c r="I120" s="168"/>
      <c r="J120" s="63"/>
      <c r="K120" s="191"/>
      <c r="L120" s="65"/>
      <c r="M120" s="67"/>
      <c r="N120" s="58"/>
      <c r="O120" s="168"/>
      <c r="P120" s="63"/>
      <c r="Q120" s="191"/>
      <c r="R120" s="65"/>
      <c r="S120" s="67"/>
      <c r="T120" s="58"/>
      <c r="U120" s="171"/>
      <c r="V120" s="63"/>
      <c r="W120" s="191"/>
      <c r="X120" s="65"/>
      <c r="Y120" s="67"/>
      <c r="Z120" s="58"/>
      <c r="AA120" s="38"/>
      <c r="AB120" s="38"/>
      <c r="AC120" s="38"/>
    </row>
    <row r="121" spans="1:29" s="39" customFormat="1" ht="13.8" hidden="1" outlineLevel="1" x14ac:dyDescent="0.25">
      <c r="A121" s="89"/>
      <c r="B121" s="89"/>
      <c r="C121" s="188"/>
      <c r="D121" s="189"/>
      <c r="E121" s="188"/>
      <c r="F121" s="190"/>
      <c r="G121" s="106">
        <v>2</v>
      </c>
      <c r="H121" s="51" t="s">
        <v>336</v>
      </c>
      <c r="I121" s="168"/>
      <c r="J121" s="63"/>
      <c r="K121" s="191"/>
      <c r="L121" s="65"/>
      <c r="M121" s="67"/>
      <c r="N121" s="58"/>
      <c r="O121" s="168"/>
      <c r="P121" s="63"/>
      <c r="Q121" s="191"/>
      <c r="R121" s="65"/>
      <c r="S121" s="67"/>
      <c r="T121" s="58"/>
      <c r="U121" s="171"/>
      <c r="V121" s="63"/>
      <c r="W121" s="191"/>
      <c r="X121" s="65"/>
      <c r="Y121" s="67"/>
      <c r="Z121" s="58"/>
    </row>
    <row r="122" spans="1:29" s="39" customFormat="1" ht="13.8" hidden="1" outlineLevel="1" x14ac:dyDescent="0.25">
      <c r="A122" s="89"/>
      <c r="B122" s="89"/>
      <c r="C122" s="188"/>
      <c r="D122" s="189"/>
      <c r="E122" s="188"/>
      <c r="F122" s="190"/>
      <c r="G122" s="106">
        <v>3</v>
      </c>
      <c r="H122" s="51" t="s">
        <v>90</v>
      </c>
      <c r="I122" s="168"/>
      <c r="J122" s="63"/>
      <c r="K122" s="191"/>
      <c r="L122" s="65"/>
      <c r="M122" s="67"/>
      <c r="N122" s="58"/>
      <c r="O122" s="168"/>
      <c r="P122" s="63"/>
      <c r="Q122" s="191"/>
      <c r="R122" s="65"/>
      <c r="S122" s="67"/>
      <c r="T122" s="58"/>
      <c r="U122" s="171"/>
      <c r="V122" s="63"/>
      <c r="W122" s="191"/>
      <c r="X122" s="65"/>
      <c r="Y122" s="67"/>
      <c r="Z122" s="58"/>
    </row>
    <row r="123" spans="1:29" s="39" customFormat="1" ht="13.8" hidden="1" outlineLevel="1" x14ac:dyDescent="0.25">
      <c r="A123" s="89"/>
      <c r="B123" s="89"/>
      <c r="C123" s="188"/>
      <c r="D123" s="189"/>
      <c r="E123" s="188"/>
      <c r="F123" s="190"/>
      <c r="G123" s="106">
        <v>4</v>
      </c>
      <c r="H123" s="51" t="s">
        <v>91</v>
      </c>
      <c r="I123" s="168"/>
      <c r="J123" s="63"/>
      <c r="K123" s="191"/>
      <c r="L123" s="65"/>
      <c r="M123" s="67"/>
      <c r="N123" s="58"/>
      <c r="O123" s="168"/>
      <c r="P123" s="63"/>
      <c r="Q123" s="191"/>
      <c r="R123" s="65"/>
      <c r="S123" s="67"/>
      <c r="T123" s="58"/>
      <c r="U123" s="171"/>
      <c r="V123" s="63"/>
      <c r="W123" s="191"/>
      <c r="X123" s="65"/>
      <c r="Y123" s="67"/>
      <c r="Z123" s="58"/>
    </row>
    <row r="124" spans="1:29" s="39" customFormat="1" ht="13.8" hidden="1" outlineLevel="1" x14ac:dyDescent="0.25">
      <c r="A124" s="89"/>
      <c r="B124" s="89"/>
      <c r="C124" s="188"/>
      <c r="D124" s="189"/>
      <c r="E124" s="188"/>
      <c r="F124" s="190"/>
      <c r="G124" s="106">
        <v>5</v>
      </c>
      <c r="H124" s="51" t="s">
        <v>92</v>
      </c>
      <c r="I124" s="168"/>
      <c r="J124" s="63"/>
      <c r="K124" s="191"/>
      <c r="L124" s="65"/>
      <c r="M124" s="67"/>
      <c r="N124" s="58"/>
      <c r="O124" s="168"/>
      <c r="P124" s="63"/>
      <c r="Q124" s="191"/>
      <c r="R124" s="65"/>
      <c r="S124" s="67"/>
      <c r="T124" s="58"/>
      <c r="U124" s="171"/>
      <c r="V124" s="63"/>
      <c r="W124" s="191"/>
      <c r="X124" s="65"/>
      <c r="Y124" s="67"/>
      <c r="Z124" s="58"/>
    </row>
    <row r="125" spans="1:29" s="39" customFormat="1" ht="13.8" hidden="1" outlineLevel="1" x14ac:dyDescent="0.25">
      <c r="A125" s="89"/>
      <c r="B125" s="89"/>
      <c r="C125" s="188"/>
      <c r="D125" s="189"/>
      <c r="E125" s="188"/>
      <c r="F125" s="190"/>
      <c r="G125" s="106"/>
      <c r="H125" s="51" t="s">
        <v>95</v>
      </c>
      <c r="I125" s="168"/>
      <c r="J125" s="63"/>
      <c r="K125" s="191"/>
      <c r="L125" s="65"/>
      <c r="M125" s="67"/>
      <c r="N125" s="58"/>
      <c r="O125" s="168"/>
      <c r="P125" s="63"/>
      <c r="Q125" s="191"/>
      <c r="R125" s="65"/>
      <c r="S125" s="67"/>
      <c r="T125" s="58"/>
      <c r="U125" s="171"/>
      <c r="V125" s="63"/>
      <c r="W125" s="191"/>
      <c r="X125" s="65"/>
      <c r="Y125" s="67"/>
      <c r="Z125" s="58"/>
    </row>
    <row r="126" spans="1:29" s="39" customFormat="1" ht="13.8" hidden="1" outlineLevel="1" x14ac:dyDescent="0.25">
      <c r="A126" s="89"/>
      <c r="B126" s="89"/>
      <c r="C126" s="188"/>
      <c r="D126" s="189"/>
      <c r="E126" s="188"/>
      <c r="F126" s="190"/>
      <c r="G126" s="184" t="s">
        <v>102</v>
      </c>
      <c r="H126" s="185" t="s">
        <v>101</v>
      </c>
      <c r="I126" s="168"/>
      <c r="J126" s="62"/>
      <c r="K126" s="186"/>
      <c r="L126" s="64"/>
      <c r="M126" s="66"/>
      <c r="N126" s="59"/>
      <c r="O126" s="168"/>
      <c r="P126" s="62"/>
      <c r="Q126" s="186"/>
      <c r="R126" s="64"/>
      <c r="S126" s="66"/>
      <c r="T126" s="59"/>
      <c r="U126" s="171"/>
      <c r="V126" s="62"/>
      <c r="W126" s="186"/>
      <c r="X126" s="64"/>
      <c r="Y126" s="66"/>
      <c r="Z126" s="59"/>
      <c r="AA126" s="38"/>
      <c r="AB126" s="38"/>
      <c r="AC126" s="38"/>
    </row>
    <row r="127" spans="1:29" s="39" customFormat="1" ht="13.8" hidden="1" outlineLevel="1" x14ac:dyDescent="0.25">
      <c r="A127" s="89"/>
      <c r="B127" s="89"/>
      <c r="C127" s="188"/>
      <c r="D127" s="189"/>
      <c r="E127" s="188"/>
      <c r="F127" s="190"/>
      <c r="G127" s="106">
        <v>1</v>
      </c>
      <c r="H127" s="197" t="s">
        <v>97</v>
      </c>
      <c r="I127" s="168"/>
      <c r="J127" s="63"/>
      <c r="K127" s="191"/>
      <c r="L127" s="65"/>
      <c r="M127" s="67"/>
      <c r="N127" s="58"/>
      <c r="O127" s="168"/>
      <c r="P127" s="63"/>
      <c r="Q127" s="191"/>
      <c r="R127" s="65"/>
      <c r="S127" s="67"/>
      <c r="T127" s="58"/>
      <c r="U127" s="171"/>
      <c r="V127" s="63"/>
      <c r="W127" s="191"/>
      <c r="X127" s="65"/>
      <c r="Y127" s="67"/>
      <c r="Z127" s="58"/>
      <c r="AA127" s="38"/>
      <c r="AB127" s="38"/>
      <c r="AC127" s="38"/>
    </row>
    <row r="128" spans="1:29" s="39" customFormat="1" ht="13.8" hidden="1" outlineLevel="1" x14ac:dyDescent="0.25">
      <c r="A128" s="89"/>
      <c r="B128" s="89"/>
      <c r="C128" s="188"/>
      <c r="D128" s="189"/>
      <c r="E128" s="188"/>
      <c r="F128" s="190"/>
      <c r="G128" s="106">
        <v>2</v>
      </c>
      <c r="H128" s="51" t="s">
        <v>98</v>
      </c>
      <c r="I128" s="168"/>
      <c r="J128" s="63"/>
      <c r="K128" s="191"/>
      <c r="L128" s="65"/>
      <c r="M128" s="67"/>
      <c r="N128" s="58"/>
      <c r="O128" s="168"/>
      <c r="P128" s="63"/>
      <c r="Q128" s="191"/>
      <c r="R128" s="65"/>
      <c r="S128" s="67"/>
      <c r="T128" s="58"/>
      <c r="U128" s="171"/>
      <c r="V128" s="63"/>
      <c r="W128" s="191"/>
      <c r="X128" s="65"/>
      <c r="Y128" s="67"/>
      <c r="Z128" s="58"/>
    </row>
    <row r="129" spans="1:29" s="39" customFormat="1" ht="13.8" hidden="1" outlineLevel="1" x14ac:dyDescent="0.25">
      <c r="A129" s="89"/>
      <c r="B129" s="89"/>
      <c r="C129" s="188"/>
      <c r="D129" s="189"/>
      <c r="E129" s="188"/>
      <c r="F129" s="190"/>
      <c r="G129" s="106">
        <v>3</v>
      </c>
      <c r="H129" s="51" t="s">
        <v>99</v>
      </c>
      <c r="I129" s="168"/>
      <c r="J129" s="63"/>
      <c r="K129" s="191"/>
      <c r="L129" s="65"/>
      <c r="M129" s="67"/>
      <c r="N129" s="58"/>
      <c r="O129" s="168"/>
      <c r="P129" s="63"/>
      <c r="Q129" s="191"/>
      <c r="R129" s="65"/>
      <c r="S129" s="67"/>
      <c r="T129" s="58"/>
      <c r="U129" s="171"/>
      <c r="V129" s="63"/>
      <c r="W129" s="191"/>
      <c r="X129" s="65"/>
      <c r="Y129" s="67"/>
      <c r="Z129" s="58"/>
    </row>
    <row r="130" spans="1:29" s="39" customFormat="1" ht="13.8" hidden="1" outlineLevel="1" x14ac:dyDescent="0.25">
      <c r="A130" s="89"/>
      <c r="B130" s="89"/>
      <c r="C130" s="188"/>
      <c r="D130" s="189"/>
      <c r="E130" s="188"/>
      <c r="F130" s="190"/>
      <c r="G130" s="106">
        <v>4</v>
      </c>
      <c r="H130" s="51" t="s">
        <v>100</v>
      </c>
      <c r="I130" s="168"/>
      <c r="J130" s="63"/>
      <c r="K130" s="191"/>
      <c r="L130" s="65"/>
      <c r="M130" s="67"/>
      <c r="N130" s="58"/>
      <c r="O130" s="168"/>
      <c r="P130" s="63"/>
      <c r="Q130" s="191"/>
      <c r="R130" s="65"/>
      <c r="S130" s="67"/>
      <c r="T130" s="58"/>
      <c r="U130" s="171"/>
      <c r="V130" s="63"/>
      <c r="W130" s="191"/>
      <c r="X130" s="65"/>
      <c r="Y130" s="67"/>
      <c r="Z130" s="58"/>
    </row>
    <row r="131" spans="1:29" s="39" customFormat="1" ht="13.8" hidden="1" outlineLevel="1" x14ac:dyDescent="0.25">
      <c r="A131" s="89"/>
      <c r="B131" s="89"/>
      <c r="C131" s="188"/>
      <c r="D131" s="189"/>
      <c r="E131" s="188"/>
      <c r="F131" s="190"/>
      <c r="G131" s="106"/>
      <c r="H131" s="51" t="s">
        <v>95</v>
      </c>
      <c r="I131" s="168"/>
      <c r="J131" s="63"/>
      <c r="K131" s="191"/>
      <c r="L131" s="65"/>
      <c r="M131" s="67"/>
      <c r="N131" s="58"/>
      <c r="O131" s="168"/>
      <c r="P131" s="63"/>
      <c r="Q131" s="191"/>
      <c r="R131" s="65"/>
      <c r="S131" s="67"/>
      <c r="T131" s="58"/>
      <c r="U131" s="171"/>
      <c r="V131" s="63"/>
      <c r="W131" s="191"/>
      <c r="X131" s="65"/>
      <c r="Y131" s="67"/>
      <c r="Z131" s="58"/>
    </row>
    <row r="132" spans="1:29" s="39" customFormat="1" ht="13.8" hidden="1" outlineLevel="1" x14ac:dyDescent="0.25">
      <c r="A132" s="89"/>
      <c r="B132" s="89"/>
      <c r="C132" s="188"/>
      <c r="D132" s="189"/>
      <c r="E132" s="188"/>
      <c r="F132" s="190"/>
      <c r="G132" s="184" t="s">
        <v>103</v>
      </c>
      <c r="H132" s="185" t="s">
        <v>104</v>
      </c>
      <c r="I132" s="168"/>
      <c r="J132" s="62"/>
      <c r="K132" s="186"/>
      <c r="L132" s="64"/>
      <c r="M132" s="66"/>
      <c r="N132" s="59"/>
      <c r="O132" s="168"/>
      <c r="P132" s="62"/>
      <c r="Q132" s="186"/>
      <c r="R132" s="64"/>
      <c r="S132" s="66"/>
      <c r="T132" s="59"/>
      <c r="U132" s="171"/>
      <c r="V132" s="62"/>
      <c r="W132" s="186"/>
      <c r="X132" s="64"/>
      <c r="Y132" s="66"/>
      <c r="Z132" s="59"/>
      <c r="AA132" s="38"/>
      <c r="AB132" s="38"/>
      <c r="AC132" s="38"/>
    </row>
    <row r="133" spans="1:29" s="39" customFormat="1" ht="13.8" hidden="1" outlineLevel="1" x14ac:dyDescent="0.25">
      <c r="A133" s="89"/>
      <c r="B133" s="89"/>
      <c r="C133" s="188"/>
      <c r="D133" s="189"/>
      <c r="E133" s="188"/>
      <c r="F133" s="190"/>
      <c r="G133" s="106">
        <v>1</v>
      </c>
      <c r="H133" s="197" t="s">
        <v>105</v>
      </c>
      <c r="I133" s="168"/>
      <c r="J133" s="63"/>
      <c r="K133" s="191"/>
      <c r="L133" s="65"/>
      <c r="M133" s="67"/>
      <c r="N133" s="58"/>
      <c r="O133" s="168"/>
      <c r="P133" s="63"/>
      <c r="Q133" s="191"/>
      <c r="R133" s="65"/>
      <c r="S133" s="67"/>
      <c r="T133" s="58"/>
      <c r="U133" s="171"/>
      <c r="V133" s="63"/>
      <c r="W133" s="191"/>
      <c r="X133" s="65"/>
      <c r="Y133" s="67"/>
      <c r="Z133" s="58"/>
      <c r="AA133" s="38"/>
      <c r="AB133" s="38"/>
      <c r="AC133" s="38"/>
    </row>
    <row r="134" spans="1:29" s="39" customFormat="1" ht="13.8" hidden="1" outlineLevel="1" x14ac:dyDescent="0.25">
      <c r="A134" s="92"/>
      <c r="B134" s="92"/>
      <c r="C134" s="71"/>
      <c r="D134" s="72"/>
      <c r="E134" s="71"/>
      <c r="F134" s="190"/>
      <c r="G134" s="106">
        <v>2</v>
      </c>
      <c r="H134" s="51" t="s">
        <v>106</v>
      </c>
      <c r="I134" s="168"/>
      <c r="J134" s="63"/>
      <c r="K134" s="191"/>
      <c r="L134" s="65"/>
      <c r="M134" s="67"/>
      <c r="N134" s="58"/>
      <c r="O134" s="168"/>
      <c r="P134" s="63"/>
      <c r="Q134" s="191"/>
      <c r="R134" s="65"/>
      <c r="S134" s="67"/>
      <c r="T134" s="58"/>
      <c r="U134" s="171"/>
      <c r="V134" s="63"/>
      <c r="W134" s="191"/>
      <c r="X134" s="65"/>
      <c r="Y134" s="67"/>
      <c r="Z134" s="58"/>
    </row>
    <row r="135" spans="1:29" s="39" customFormat="1" ht="13.8" hidden="1" outlineLevel="1" x14ac:dyDescent="0.25">
      <c r="A135" s="89"/>
      <c r="B135" s="89"/>
      <c r="C135" s="188"/>
      <c r="D135" s="189"/>
      <c r="E135" s="188"/>
      <c r="F135" s="190"/>
      <c r="G135" s="106">
        <v>3</v>
      </c>
      <c r="H135" s="51" t="s">
        <v>107</v>
      </c>
      <c r="I135" s="168"/>
      <c r="J135" s="63"/>
      <c r="K135" s="191"/>
      <c r="L135" s="65"/>
      <c r="M135" s="67"/>
      <c r="N135" s="58"/>
      <c r="O135" s="168"/>
      <c r="P135" s="63"/>
      <c r="Q135" s="191"/>
      <c r="R135" s="65"/>
      <c r="S135" s="67"/>
      <c r="T135" s="58"/>
      <c r="U135" s="171"/>
      <c r="V135" s="63"/>
      <c r="W135" s="191"/>
      <c r="X135" s="65"/>
      <c r="Y135" s="67"/>
      <c r="Z135" s="58"/>
    </row>
    <row r="136" spans="1:29" s="39" customFormat="1" ht="13.8" hidden="1" outlineLevel="1" x14ac:dyDescent="0.25">
      <c r="A136" s="89"/>
      <c r="B136" s="89"/>
      <c r="C136" s="188"/>
      <c r="D136" s="189"/>
      <c r="E136" s="188"/>
      <c r="F136" s="190"/>
      <c r="G136" s="106"/>
      <c r="H136" s="51" t="s">
        <v>95</v>
      </c>
      <c r="I136" s="168"/>
      <c r="J136" s="63"/>
      <c r="K136" s="191"/>
      <c r="L136" s="65"/>
      <c r="M136" s="67"/>
      <c r="N136" s="58"/>
      <c r="O136" s="168"/>
      <c r="P136" s="63"/>
      <c r="Q136" s="191"/>
      <c r="R136" s="65"/>
      <c r="S136" s="67"/>
      <c r="T136" s="58"/>
      <c r="U136" s="171"/>
      <c r="V136" s="63"/>
      <c r="W136" s="191"/>
      <c r="X136" s="65"/>
      <c r="Y136" s="67"/>
      <c r="Z136" s="58"/>
    </row>
    <row r="137" spans="1:29" s="39" customFormat="1" ht="13.8" hidden="1" outlineLevel="1" x14ac:dyDescent="0.25">
      <c r="A137" s="89"/>
      <c r="B137" s="89"/>
      <c r="C137" s="188"/>
      <c r="D137" s="189"/>
      <c r="E137" s="188"/>
      <c r="F137" s="190"/>
      <c r="G137" s="184" t="s">
        <v>372</v>
      </c>
      <c r="H137" s="185" t="s">
        <v>108</v>
      </c>
      <c r="I137" s="168"/>
      <c r="J137" s="62"/>
      <c r="K137" s="186"/>
      <c r="L137" s="64"/>
      <c r="M137" s="66"/>
      <c r="N137" s="59"/>
      <c r="O137" s="168"/>
      <c r="P137" s="62"/>
      <c r="Q137" s="186"/>
      <c r="R137" s="64"/>
      <c r="S137" s="66"/>
      <c r="T137" s="59"/>
      <c r="U137" s="171"/>
      <c r="V137" s="62"/>
      <c r="W137" s="186"/>
      <c r="X137" s="64"/>
      <c r="Y137" s="66"/>
      <c r="Z137" s="59"/>
      <c r="AA137" s="38"/>
      <c r="AB137" s="38"/>
      <c r="AC137" s="38"/>
    </row>
    <row r="138" spans="1:29" s="39" customFormat="1" ht="13.8" hidden="1" outlineLevel="1" x14ac:dyDescent="0.25">
      <c r="A138" s="89"/>
      <c r="B138" s="89"/>
      <c r="C138" s="188"/>
      <c r="D138" s="189"/>
      <c r="E138" s="188"/>
      <c r="F138" s="190"/>
      <c r="G138" s="106">
        <v>1</v>
      </c>
      <c r="H138" s="197" t="s">
        <v>109</v>
      </c>
      <c r="I138" s="168"/>
      <c r="J138" s="63"/>
      <c r="K138" s="191"/>
      <c r="L138" s="65"/>
      <c r="M138" s="67"/>
      <c r="N138" s="58"/>
      <c r="O138" s="168"/>
      <c r="P138" s="63"/>
      <c r="Q138" s="191"/>
      <c r="R138" s="65"/>
      <c r="S138" s="67"/>
      <c r="T138" s="58"/>
      <c r="U138" s="171"/>
      <c r="V138" s="63"/>
      <c r="W138" s="191"/>
      <c r="X138" s="65"/>
      <c r="Y138" s="67"/>
      <c r="Z138" s="58"/>
      <c r="AA138" s="38"/>
      <c r="AB138" s="38"/>
      <c r="AC138" s="38"/>
    </row>
    <row r="139" spans="1:29" s="39" customFormat="1" ht="13.8" hidden="1" outlineLevel="1" x14ac:dyDescent="0.25">
      <c r="A139" s="89"/>
      <c r="B139" s="89"/>
      <c r="C139" s="188"/>
      <c r="D139" s="189"/>
      <c r="E139" s="188"/>
      <c r="F139" s="190"/>
      <c r="G139" s="106">
        <v>2</v>
      </c>
      <c r="H139" s="51" t="s">
        <v>337</v>
      </c>
      <c r="I139" s="168"/>
      <c r="J139" s="63"/>
      <c r="K139" s="191"/>
      <c r="L139" s="65"/>
      <c r="M139" s="67"/>
      <c r="N139" s="58"/>
      <c r="O139" s="168"/>
      <c r="P139" s="63"/>
      <c r="Q139" s="191"/>
      <c r="R139" s="65"/>
      <c r="S139" s="67"/>
      <c r="T139" s="58"/>
      <c r="U139" s="171"/>
      <c r="V139" s="63"/>
      <c r="W139" s="191"/>
      <c r="X139" s="65"/>
      <c r="Y139" s="67"/>
      <c r="Z139" s="58"/>
    </row>
    <row r="140" spans="1:29" s="39" customFormat="1" ht="13.8" hidden="1" outlineLevel="1" x14ac:dyDescent="0.25">
      <c r="A140" s="112"/>
      <c r="B140" s="112"/>
      <c r="C140" s="198"/>
      <c r="D140" s="199"/>
      <c r="E140" s="198"/>
      <c r="F140" s="200"/>
      <c r="G140" s="124">
        <v>3</v>
      </c>
      <c r="H140" s="113" t="s">
        <v>110</v>
      </c>
      <c r="I140" s="168"/>
      <c r="J140" s="114"/>
      <c r="K140" s="201"/>
      <c r="L140" s="115"/>
      <c r="M140" s="116"/>
      <c r="N140" s="117"/>
      <c r="O140" s="168"/>
      <c r="P140" s="114"/>
      <c r="Q140" s="201"/>
      <c r="R140" s="115"/>
      <c r="S140" s="116"/>
      <c r="T140" s="117"/>
      <c r="U140" s="171"/>
      <c r="V140" s="114"/>
      <c r="W140" s="201"/>
      <c r="X140" s="115"/>
      <c r="Y140" s="116"/>
      <c r="Z140" s="117"/>
    </row>
    <row r="141" spans="1:29" s="39" customFormat="1" ht="13.8" hidden="1" outlineLevel="1" x14ac:dyDescent="0.25">
      <c r="A141" s="91"/>
      <c r="B141" s="91"/>
      <c r="C141" s="202"/>
      <c r="D141" s="203"/>
      <c r="E141" s="202"/>
      <c r="F141" s="204"/>
      <c r="G141" s="107"/>
      <c r="H141" s="118" t="s">
        <v>95</v>
      </c>
      <c r="I141" s="193"/>
      <c r="J141" s="119"/>
      <c r="K141" s="205"/>
      <c r="L141" s="120"/>
      <c r="M141" s="121"/>
      <c r="N141" s="122"/>
      <c r="O141" s="193"/>
      <c r="P141" s="119"/>
      <c r="Q141" s="205"/>
      <c r="R141" s="120"/>
      <c r="S141" s="121"/>
      <c r="T141" s="122"/>
      <c r="U141" s="193"/>
      <c r="V141" s="119"/>
      <c r="W141" s="205"/>
      <c r="X141" s="120"/>
      <c r="Y141" s="121"/>
      <c r="Z141" s="122"/>
    </row>
    <row r="142" spans="1:29" s="39" customFormat="1" ht="13.8" collapsed="1" x14ac:dyDescent="0.25">
      <c r="A142" s="206"/>
      <c r="B142" s="206"/>
      <c r="C142" s="206"/>
      <c r="D142" s="206"/>
      <c r="E142" s="73" t="s">
        <v>328</v>
      </c>
      <c r="F142" s="207">
        <f>SUM(F10:F141)</f>
        <v>0</v>
      </c>
      <c r="G142" s="206"/>
      <c r="H142" s="206"/>
      <c r="I142" s="208"/>
      <c r="J142" s="206"/>
      <c r="K142" s="206"/>
      <c r="L142" s="52" t="s">
        <v>111</v>
      </c>
      <c r="M142" s="207">
        <f>SUM(M18:M141)</f>
        <v>0</v>
      </c>
      <c r="N142" s="206"/>
      <c r="O142" s="208"/>
      <c r="P142" s="206"/>
      <c r="Q142" s="206"/>
      <c r="R142" s="52" t="s">
        <v>111</v>
      </c>
      <c r="S142" s="207">
        <f>SUM(S18:S141)</f>
        <v>0</v>
      </c>
      <c r="T142" s="206"/>
      <c r="U142" s="208"/>
      <c r="V142" s="206"/>
      <c r="W142" s="206"/>
      <c r="X142" s="52" t="s">
        <v>111</v>
      </c>
      <c r="Y142" s="207">
        <f>SUM(Y18:Y141)</f>
        <v>0</v>
      </c>
      <c r="Z142" s="206"/>
    </row>
    <row r="145" spans="1:5" x14ac:dyDescent="0.2">
      <c r="A145" s="125" t="s">
        <v>327</v>
      </c>
      <c r="B145" s="209"/>
      <c r="C145" s="209"/>
      <c r="D145" s="53"/>
      <c r="E145" s="210"/>
    </row>
    <row r="146" spans="1:5" x14ac:dyDescent="0.2">
      <c r="A146" s="211" t="str">
        <f>L2</f>
        <v>&lt;hier typen&gt;</v>
      </c>
      <c r="B146" s="212"/>
      <c r="C146" s="212"/>
      <c r="D146" s="212"/>
      <c r="E146" s="213">
        <f>M142</f>
        <v>0</v>
      </c>
    </row>
    <row r="147" spans="1:5" x14ac:dyDescent="0.2">
      <c r="A147" s="165" t="s">
        <v>112</v>
      </c>
      <c r="E147" s="214" t="e">
        <f>E148/M142</f>
        <v>#DIV/0!</v>
      </c>
    </row>
    <row r="148" spans="1:5" x14ac:dyDescent="0.2">
      <c r="A148" s="165" t="s">
        <v>113</v>
      </c>
      <c r="E148" s="215">
        <f>F142-M142</f>
        <v>0</v>
      </c>
    </row>
    <row r="149" spans="1:5" x14ac:dyDescent="0.2">
      <c r="A149" s="165"/>
      <c r="E149" s="216"/>
    </row>
    <row r="150" spans="1:5" x14ac:dyDescent="0.2">
      <c r="A150" s="211" t="str">
        <f>R2</f>
        <v>&lt;hier typen&gt;</v>
      </c>
      <c r="B150" s="212"/>
      <c r="C150" s="212"/>
      <c r="D150" s="212"/>
      <c r="E150" s="213">
        <f>S142</f>
        <v>0</v>
      </c>
    </row>
    <row r="151" spans="1:5" x14ac:dyDescent="0.2">
      <c r="A151" s="165" t="s">
        <v>112</v>
      </c>
      <c r="E151" s="214" t="e">
        <f>E152/S142</f>
        <v>#DIV/0!</v>
      </c>
    </row>
    <row r="152" spans="1:5" x14ac:dyDescent="0.2">
      <c r="A152" s="165" t="s">
        <v>113</v>
      </c>
      <c r="E152" s="215">
        <f>F142-S142</f>
        <v>0</v>
      </c>
    </row>
    <row r="153" spans="1:5" x14ac:dyDescent="0.2">
      <c r="A153" s="165"/>
      <c r="E153" s="216"/>
    </row>
    <row r="154" spans="1:5" x14ac:dyDescent="0.2">
      <c r="A154" s="211" t="str">
        <f>X2</f>
        <v>&lt;hier typen&gt;</v>
      </c>
      <c r="B154" s="212"/>
      <c r="C154" s="212"/>
      <c r="D154" s="212"/>
      <c r="E154" s="213">
        <f>Y142</f>
        <v>0</v>
      </c>
    </row>
    <row r="155" spans="1:5" x14ac:dyDescent="0.2">
      <c r="A155" s="165" t="s">
        <v>112</v>
      </c>
      <c r="E155" s="214" t="e">
        <f>E156/Y142</f>
        <v>#DIV/0!</v>
      </c>
    </row>
    <row r="156" spans="1:5" x14ac:dyDescent="0.2">
      <c r="A156" s="217" t="s">
        <v>113</v>
      </c>
      <c r="B156" s="218"/>
      <c r="C156" s="218"/>
      <c r="D156" s="218"/>
      <c r="E156" s="219">
        <f>F142-Y142</f>
        <v>0</v>
      </c>
    </row>
  </sheetData>
  <mergeCells count="4">
    <mergeCell ref="G8:H9"/>
    <mergeCell ref="J10:N10"/>
    <mergeCell ref="P10:T10"/>
    <mergeCell ref="V10:Z10"/>
  </mergeCells>
  <conditionalFormatting sqref="F142">
    <cfRule type="containsText" dxfId="32" priority="16" operator="containsText" text="nazien">
      <formula>NOT(ISERROR(SEARCH("nazien",F142)))</formula>
    </cfRule>
    <cfRule type="containsText" dxfId="31" priority="17" operator="containsText" text="incl.">
      <formula>NOT(ISERROR(SEARCH("incl.",F142)))</formula>
    </cfRule>
    <cfRule type="containsText" dxfId="30" priority="18" operator="containsText" text="inclusief">
      <formula>NOT(ISERROR(SEARCH("inclusief",F142)))</formula>
    </cfRule>
    <cfRule type="containsText" dxfId="29" priority="19" operator="containsText" text="excl.">
      <formula>NOT(ISERROR(SEARCH("excl.",F142)))</formula>
    </cfRule>
    <cfRule type="containsText" dxfId="28" priority="20" operator="containsText" text="exclusief">
      <formula>NOT(ISERROR(SEARCH("exclusief",F142)))</formula>
    </cfRule>
  </conditionalFormatting>
  <conditionalFormatting sqref="M1 S1 Y1 M7:M1048576 S7:S1048576 Y7:Y1048576">
    <cfRule type="containsText" dxfId="27" priority="5" operator="containsText" text="nazien">
      <formula>NOT(ISERROR(SEARCH("nazien",M1)))</formula>
    </cfRule>
    <cfRule type="containsText" dxfId="26" priority="61" operator="containsText" text="optie">
      <formula>NOT(ISERROR(SEARCH("optie",M1)))</formula>
    </cfRule>
    <cfRule type="containsText" dxfId="25" priority="63" operator="containsText" text="incl.">
      <formula>NOT(ISERROR(SEARCH("incl.",M1)))</formula>
    </cfRule>
    <cfRule type="containsText" dxfId="24" priority="64" operator="containsText" text="inclusief">
      <formula>NOT(ISERROR(SEARCH("inclusief",M1)))</formula>
    </cfRule>
    <cfRule type="containsText" dxfId="23" priority="66" operator="containsText" text="excl.">
      <formula>NOT(ISERROR(SEARCH("excl.",M1)))</formula>
    </cfRule>
    <cfRule type="containsText" dxfId="22" priority="70" operator="containsText" text="exclusief">
      <formula>NOT(ISERROR(SEARCH("exclusief",M1)))</formula>
    </cfRule>
  </conditionalFormatting>
  <hyperlinks>
    <hyperlink ref="H51" location="Kennisbank!A1" display="zie tabblad kennisband" xr:uid="{DD2D5742-7A5D-4FDA-8272-5B471B928999}"/>
  </hyperlinks>
  <pageMargins left="0.19685039370078741" right="0.19685039370078741" top="0.39370078740157483" bottom="0.39370078740157483" header="0.19685039370078741" footer="0.19685039370078741"/>
  <pageSetup paperSize="8" scale="61" fitToHeight="0"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promptTitle="BIM-propertysets" prompt="Kies hier het juiste document" xr:uid="{FA982FCD-135E-4668-9010-01F4E07E59B5}">
          <x14:formula1>
            <xm:f>'Data en verwijzingen'!$A$2:$A$8</xm:f>
          </x14:formula1>
          <xm:sqref>H116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14E1E-1240-44AB-B9F1-A33D98665193}">
  <dimension ref="A1:AC163"/>
  <sheetViews>
    <sheetView tabSelected="1" zoomScaleNormal="100" zoomScaleSheetLayoutView="90" workbookViewId="0">
      <pane xSplit="8" ySplit="9" topLeftCell="I115" activePane="bottomRight" state="frozen"/>
      <selection pane="topRight" activeCell="I1" sqref="I1"/>
      <selection pane="bottomLeft" activeCell="A10" sqref="A10"/>
      <selection pane="bottomRight" activeCell="B127" sqref="B127"/>
    </sheetView>
  </sheetViews>
  <sheetFormatPr defaultColWidth="9.109375" defaultRowHeight="10.199999999999999" outlineLevelRow="1" outlineLevelCol="1" x14ac:dyDescent="0.2"/>
  <cols>
    <col min="1" max="1" width="14.5546875" style="38" customWidth="1" outlineLevel="1"/>
    <col min="2" max="2" width="47.5546875" style="38" customWidth="1" outlineLevel="1"/>
    <col min="3" max="5" width="9.88671875" style="38" customWidth="1" outlineLevel="1"/>
    <col min="6" max="6" width="18.5546875" style="38" customWidth="1" outlineLevel="1"/>
    <col min="7" max="7" width="2.6640625" style="38" customWidth="1"/>
    <col min="8" max="8" width="84.6640625" style="38" customWidth="1"/>
    <col min="9" max="9" width="2.6640625" style="38" customWidth="1"/>
    <col min="10" max="10" width="10.6640625" style="38" customWidth="1" outlineLevel="1"/>
    <col min="11" max="11" width="4.6640625" style="38" customWidth="1" outlineLevel="1"/>
    <col min="12" max="12" width="12.6640625" style="38" customWidth="1" outlineLevel="1"/>
    <col min="13" max="13" width="15.6640625" style="38" customWidth="1" outlineLevel="1"/>
    <col min="14" max="14" width="30.6640625" style="38" customWidth="1" outlineLevel="1"/>
    <col min="15" max="15" width="2.6640625" style="38" customWidth="1"/>
    <col min="16" max="16" width="10.6640625" style="38" customWidth="1" outlineLevel="1"/>
    <col min="17" max="17" width="4.6640625" style="38" customWidth="1" outlineLevel="1"/>
    <col min="18" max="18" width="12.6640625" style="38" customWidth="1" outlineLevel="1"/>
    <col min="19" max="19" width="15.6640625" style="38" customWidth="1" outlineLevel="1"/>
    <col min="20" max="20" width="30.6640625" style="38" customWidth="1" outlineLevel="1"/>
    <col min="21" max="21" width="2.6640625" style="38" customWidth="1"/>
    <col min="22" max="22" width="10.6640625" style="38" customWidth="1" outlineLevel="1"/>
    <col min="23" max="23" width="4.6640625" style="38" customWidth="1" outlineLevel="1"/>
    <col min="24" max="24" width="12.6640625" style="38" customWidth="1" outlineLevel="1"/>
    <col min="25" max="25" width="15.6640625" style="38" customWidth="1" outlineLevel="1"/>
    <col min="26" max="26" width="30.6640625" style="38" customWidth="1" outlineLevel="1"/>
    <col min="27" max="27" width="2.6640625" style="38" customWidth="1"/>
    <col min="28" max="16384" width="9.109375" style="38"/>
  </cols>
  <sheetData>
    <row r="1" spans="1:29" s="39" customFormat="1" ht="13.8" x14ac:dyDescent="0.25">
      <c r="A1" s="127" t="s">
        <v>43</v>
      </c>
      <c r="B1" s="128"/>
      <c r="C1" s="129"/>
      <c r="D1" s="130"/>
      <c r="E1" s="131"/>
      <c r="F1" s="132"/>
      <c r="G1" s="133" t="s">
        <v>44</v>
      </c>
      <c r="H1" s="134"/>
      <c r="I1" s="135"/>
      <c r="J1" s="136" t="s">
        <v>45</v>
      </c>
      <c r="K1" s="137"/>
      <c r="L1" s="45"/>
      <c r="M1" s="138"/>
      <c r="N1" s="139"/>
      <c r="O1" s="135"/>
      <c r="P1" s="136" t="s">
        <v>45</v>
      </c>
      <c r="Q1" s="137"/>
      <c r="R1" s="45"/>
      <c r="S1" s="138"/>
      <c r="T1" s="139"/>
      <c r="U1" s="140"/>
      <c r="V1" s="136" t="s">
        <v>45</v>
      </c>
      <c r="W1" s="137"/>
      <c r="X1" s="45"/>
      <c r="Y1" s="138"/>
      <c r="Z1" s="139"/>
      <c r="AA1" s="141"/>
      <c r="AB1" s="141"/>
      <c r="AC1" s="141"/>
    </row>
    <row r="2" spans="1:29" s="39" customFormat="1" ht="13.8" x14ac:dyDescent="0.25">
      <c r="A2" s="142"/>
      <c r="B2" s="143"/>
      <c r="C2" s="144"/>
      <c r="D2" s="145"/>
      <c r="E2" s="146"/>
      <c r="F2" s="147"/>
      <c r="G2" s="148"/>
      <c r="H2" s="149" t="s">
        <v>48</v>
      </c>
      <c r="I2" s="135"/>
      <c r="J2" s="150" t="s">
        <v>47</v>
      </c>
      <c r="K2" s="38"/>
      <c r="L2" s="93" t="s">
        <v>323</v>
      </c>
      <c r="M2" s="93"/>
      <c r="N2" s="151"/>
      <c r="O2" s="135"/>
      <c r="P2" s="150" t="s">
        <v>47</v>
      </c>
      <c r="Q2" s="38"/>
      <c r="R2" s="93" t="s">
        <v>323</v>
      </c>
      <c r="S2" s="93"/>
      <c r="T2" s="151"/>
      <c r="U2" s="140"/>
      <c r="V2" s="150" t="s">
        <v>47</v>
      </c>
      <c r="W2" s="38"/>
      <c r="X2" s="93" t="s">
        <v>323</v>
      </c>
      <c r="Y2" s="93"/>
      <c r="Z2" s="151"/>
      <c r="AA2" s="141"/>
      <c r="AB2" s="141"/>
      <c r="AC2" s="141"/>
    </row>
    <row r="3" spans="1:29" s="39" customFormat="1" ht="13.8" x14ac:dyDescent="0.25">
      <c r="A3" s="142"/>
      <c r="B3" s="143"/>
      <c r="C3" s="144"/>
      <c r="D3" s="145"/>
      <c r="E3" s="146"/>
      <c r="F3" s="147"/>
      <c r="G3" s="148"/>
      <c r="H3" s="149" t="s">
        <v>371</v>
      </c>
      <c r="I3" s="135"/>
      <c r="J3" s="150" t="s">
        <v>369</v>
      </c>
      <c r="K3" s="152"/>
      <c r="L3" s="94" t="s">
        <v>323</v>
      </c>
      <c r="M3" s="94"/>
      <c r="N3" s="151"/>
      <c r="O3" s="135"/>
      <c r="P3" s="150" t="s">
        <v>369</v>
      </c>
      <c r="Q3" s="38"/>
      <c r="R3" s="94" t="s">
        <v>323</v>
      </c>
      <c r="S3" s="94"/>
      <c r="T3" s="151"/>
      <c r="U3" s="140"/>
      <c r="V3" s="150" t="s">
        <v>369</v>
      </c>
      <c r="W3" s="38"/>
      <c r="X3" s="94" t="s">
        <v>323</v>
      </c>
      <c r="Y3" s="94"/>
      <c r="Z3" s="151"/>
      <c r="AA3" s="141"/>
      <c r="AB3" s="141"/>
      <c r="AC3" s="141"/>
    </row>
    <row r="4" spans="1:29" s="39" customFormat="1" ht="13.8" x14ac:dyDescent="0.25">
      <c r="A4" s="153"/>
      <c r="B4" s="95"/>
      <c r="C4" s="154"/>
      <c r="D4" s="155"/>
      <c r="E4" s="156"/>
      <c r="F4" s="157"/>
      <c r="G4" s="148"/>
      <c r="H4" s="149" t="s">
        <v>46</v>
      </c>
      <c r="I4" s="135"/>
      <c r="J4" s="150" t="s">
        <v>34</v>
      </c>
      <c r="K4" s="158"/>
      <c r="L4" s="94" t="s">
        <v>323</v>
      </c>
      <c r="M4" s="94"/>
      <c r="N4" s="151"/>
      <c r="O4" s="135"/>
      <c r="P4" s="150" t="s">
        <v>34</v>
      </c>
      <c r="Q4" s="38"/>
      <c r="R4" s="94" t="s">
        <v>323</v>
      </c>
      <c r="S4" s="94"/>
      <c r="T4" s="151"/>
      <c r="U4" s="140"/>
      <c r="V4" s="150" t="s">
        <v>34</v>
      </c>
      <c r="W4" s="38"/>
      <c r="X4" s="94" t="s">
        <v>323</v>
      </c>
      <c r="Y4" s="94"/>
      <c r="Z4" s="151"/>
      <c r="AA4" s="141"/>
      <c r="AB4" s="141"/>
      <c r="AC4" s="141"/>
    </row>
    <row r="5" spans="1:29" s="39" customFormat="1" ht="13.8" x14ac:dyDescent="0.25">
      <c r="A5" s="153"/>
      <c r="B5" s="95"/>
      <c r="C5" s="154"/>
      <c r="D5" s="155"/>
      <c r="E5" s="156"/>
      <c r="F5" s="159"/>
      <c r="G5" s="148"/>
      <c r="H5" s="149" t="s">
        <v>49</v>
      </c>
      <c r="I5" s="135"/>
      <c r="J5" s="150" t="s">
        <v>51</v>
      </c>
      <c r="K5" s="141"/>
      <c r="L5" s="95" t="s">
        <v>323</v>
      </c>
      <c r="M5" s="95"/>
      <c r="N5" s="151"/>
      <c r="O5" s="135"/>
      <c r="P5" s="150" t="s">
        <v>51</v>
      </c>
      <c r="Q5" s="141"/>
      <c r="R5" s="95" t="s">
        <v>323</v>
      </c>
      <c r="S5" s="95"/>
      <c r="T5" s="151"/>
      <c r="U5" s="140"/>
      <c r="V5" s="150" t="s">
        <v>51</v>
      </c>
      <c r="W5" s="141"/>
      <c r="X5" s="95" t="s">
        <v>323</v>
      </c>
      <c r="Y5" s="95"/>
      <c r="Z5" s="151"/>
      <c r="AA5" s="141"/>
      <c r="AB5" s="141"/>
      <c r="AC5" s="141"/>
    </row>
    <row r="6" spans="1:29" s="39" customFormat="1" ht="13.8" x14ac:dyDescent="0.25">
      <c r="A6" s="160"/>
      <c r="B6" s="161"/>
      <c r="C6" s="162"/>
      <c r="D6" s="75"/>
      <c r="E6" s="163"/>
      <c r="F6" s="164"/>
      <c r="G6" s="148"/>
      <c r="H6" s="149" t="s">
        <v>33</v>
      </c>
      <c r="I6" s="135"/>
      <c r="J6" s="150" t="s">
        <v>370</v>
      </c>
      <c r="K6" s="141"/>
      <c r="L6" s="93" t="s">
        <v>323</v>
      </c>
      <c r="M6" s="93"/>
      <c r="N6" s="151"/>
      <c r="O6" s="135"/>
      <c r="P6" s="150" t="s">
        <v>370</v>
      </c>
      <c r="Q6" s="141"/>
      <c r="R6" s="93" t="s">
        <v>323</v>
      </c>
      <c r="S6" s="93"/>
      <c r="T6" s="151"/>
      <c r="U6" s="140"/>
      <c r="V6" s="150" t="s">
        <v>370</v>
      </c>
      <c r="W6" s="141"/>
      <c r="X6" s="93" t="s">
        <v>323</v>
      </c>
      <c r="Y6" s="93"/>
      <c r="Z6" s="151"/>
      <c r="AA6" s="141"/>
      <c r="AB6" s="141"/>
      <c r="AC6" s="141"/>
    </row>
    <row r="7" spans="1:29" s="39" customFormat="1" ht="13.8" x14ac:dyDescent="0.25">
      <c r="A7" s="165"/>
      <c r="B7" s="38"/>
      <c r="C7" s="38"/>
      <c r="D7" s="38"/>
      <c r="E7" s="38"/>
      <c r="F7" s="38"/>
      <c r="G7" s="166"/>
      <c r="H7" s="167"/>
      <c r="I7" s="168"/>
      <c r="J7" s="169"/>
      <c r="K7" s="74"/>
      <c r="L7" s="75"/>
      <c r="M7" s="76"/>
      <c r="N7" s="170"/>
      <c r="O7" s="168"/>
      <c r="P7" s="169"/>
      <c r="Q7" s="74"/>
      <c r="R7" s="75"/>
      <c r="S7" s="76"/>
      <c r="T7" s="170"/>
      <c r="U7" s="171"/>
      <c r="V7" s="169"/>
      <c r="W7" s="74"/>
      <c r="X7" s="75"/>
      <c r="Y7" s="76"/>
      <c r="Z7" s="170"/>
      <c r="AA7" s="38"/>
      <c r="AB7" s="38"/>
      <c r="AC7" s="38"/>
    </row>
    <row r="8" spans="1:29" s="39" customFormat="1" ht="11.25" customHeight="1" x14ac:dyDescent="0.25">
      <c r="A8" s="96" t="s">
        <v>52</v>
      </c>
      <c r="B8" s="96" t="s">
        <v>37</v>
      </c>
      <c r="C8" s="69" t="s">
        <v>320</v>
      </c>
      <c r="D8" s="97" t="s">
        <v>321</v>
      </c>
      <c r="E8" s="70" t="s">
        <v>322</v>
      </c>
      <c r="F8" s="123" t="s">
        <v>38</v>
      </c>
      <c r="G8" s="235"/>
      <c r="H8" s="236"/>
      <c r="I8" s="168"/>
      <c r="J8" s="54" t="s">
        <v>320</v>
      </c>
      <c r="K8" s="172" t="s">
        <v>321</v>
      </c>
      <c r="L8" s="55" t="s">
        <v>322</v>
      </c>
      <c r="M8" s="56" t="s">
        <v>38</v>
      </c>
      <c r="N8" s="173" t="s">
        <v>50</v>
      </c>
      <c r="O8" s="168"/>
      <c r="P8" s="54" t="s">
        <v>320</v>
      </c>
      <c r="Q8" s="172" t="s">
        <v>321</v>
      </c>
      <c r="R8" s="55" t="s">
        <v>322</v>
      </c>
      <c r="S8" s="56" t="s">
        <v>38</v>
      </c>
      <c r="T8" s="173" t="s">
        <v>50</v>
      </c>
      <c r="U8" s="171"/>
      <c r="V8" s="54" t="s">
        <v>320</v>
      </c>
      <c r="W8" s="172" t="s">
        <v>321</v>
      </c>
      <c r="X8" s="55" t="s">
        <v>322</v>
      </c>
      <c r="Y8" s="56" t="s">
        <v>38</v>
      </c>
      <c r="Z8" s="173" t="s">
        <v>50</v>
      </c>
      <c r="AA8" s="38"/>
      <c r="AB8" s="38"/>
      <c r="AC8" s="38"/>
    </row>
    <row r="9" spans="1:29" s="39" customFormat="1" ht="13.8" x14ac:dyDescent="0.25">
      <c r="A9" s="46"/>
      <c r="B9" s="46"/>
      <c r="C9" s="47"/>
      <c r="D9" s="47"/>
      <c r="E9" s="47"/>
      <c r="F9" s="174"/>
      <c r="G9" s="237"/>
      <c r="H9" s="238"/>
      <c r="I9" s="168"/>
      <c r="J9" s="46"/>
      <c r="K9" s="47"/>
      <c r="L9" s="47"/>
      <c r="M9" s="48"/>
      <c r="N9" s="175"/>
      <c r="O9" s="168"/>
      <c r="P9" s="46"/>
      <c r="Q9" s="47"/>
      <c r="R9" s="47"/>
      <c r="S9" s="48"/>
      <c r="T9" s="175"/>
      <c r="U9" s="171"/>
      <c r="V9" s="46"/>
      <c r="W9" s="47"/>
      <c r="X9" s="47"/>
      <c r="Y9" s="48"/>
      <c r="Z9" s="175"/>
      <c r="AA9" s="38"/>
      <c r="AB9" s="38"/>
      <c r="AC9" s="38"/>
    </row>
    <row r="10" spans="1:29" s="39" customFormat="1" ht="22.95" customHeight="1" x14ac:dyDescent="0.25">
      <c r="A10" s="88"/>
      <c r="B10" s="88"/>
      <c r="C10" s="176"/>
      <c r="D10" s="177"/>
      <c r="E10" s="176"/>
      <c r="F10" s="178"/>
      <c r="G10" s="179"/>
      <c r="H10" s="180"/>
      <c r="I10" s="168"/>
      <c r="J10" s="239" t="s">
        <v>404</v>
      </c>
      <c r="K10" s="240"/>
      <c r="L10" s="240"/>
      <c r="M10" s="240"/>
      <c r="N10" s="241"/>
      <c r="O10" s="168"/>
      <c r="P10" s="239" t="s">
        <v>404</v>
      </c>
      <c r="Q10" s="240"/>
      <c r="R10" s="240"/>
      <c r="S10" s="240"/>
      <c r="T10" s="241"/>
      <c r="U10" s="171"/>
      <c r="V10" s="239" t="s">
        <v>404</v>
      </c>
      <c r="W10" s="240"/>
      <c r="X10" s="240"/>
      <c r="Y10" s="240"/>
      <c r="Z10" s="241"/>
      <c r="AA10" s="38"/>
      <c r="AB10" s="38"/>
      <c r="AC10" s="38"/>
    </row>
    <row r="11" spans="1:29" s="39" customFormat="1" ht="13.8" x14ac:dyDescent="0.25">
      <c r="A11" s="126"/>
      <c r="B11" s="126"/>
      <c r="C11" s="181"/>
      <c r="D11" s="182"/>
      <c r="E11" s="181"/>
      <c r="F11" s="183"/>
      <c r="G11" s="184" t="s">
        <v>53</v>
      </c>
      <c r="H11" s="185" t="s">
        <v>54</v>
      </c>
      <c r="I11" s="168"/>
      <c r="J11" s="62"/>
      <c r="K11" s="186"/>
      <c r="L11" s="64"/>
      <c r="M11" s="50"/>
      <c r="N11" s="57"/>
      <c r="O11" s="168"/>
      <c r="P11" s="60"/>
      <c r="Q11" s="49"/>
      <c r="R11" s="61"/>
      <c r="S11" s="50"/>
      <c r="T11" s="187"/>
      <c r="U11" s="171"/>
      <c r="V11" s="60"/>
      <c r="W11" s="49"/>
      <c r="X11" s="61"/>
      <c r="Y11" s="50"/>
      <c r="Z11" s="187"/>
      <c r="AA11" s="38"/>
      <c r="AB11" s="38"/>
      <c r="AC11" s="38"/>
    </row>
    <row r="12" spans="1:29" s="39" customFormat="1" ht="13.8" x14ac:dyDescent="0.25">
      <c r="A12" s="89"/>
      <c r="B12" s="89"/>
      <c r="C12" s="188"/>
      <c r="D12" s="189"/>
      <c r="E12" s="188"/>
      <c r="F12" s="190"/>
      <c r="G12" s="106">
        <v>1</v>
      </c>
      <c r="H12" s="51"/>
      <c r="I12" s="168"/>
      <c r="J12" s="63"/>
      <c r="K12" s="191"/>
      <c r="L12" s="65"/>
      <c r="M12" s="111" t="s">
        <v>325</v>
      </c>
      <c r="N12" s="58" t="s">
        <v>329</v>
      </c>
      <c r="O12" s="168"/>
      <c r="P12" s="63"/>
      <c r="Q12" s="191"/>
      <c r="R12" s="65"/>
      <c r="S12" s="111" t="s">
        <v>325</v>
      </c>
      <c r="T12" s="58" t="s">
        <v>329</v>
      </c>
      <c r="U12" s="171"/>
      <c r="V12" s="63"/>
      <c r="W12" s="191"/>
      <c r="X12" s="65"/>
      <c r="Y12" s="111" t="s">
        <v>325</v>
      </c>
      <c r="Z12" s="58" t="s">
        <v>329</v>
      </c>
      <c r="AA12" s="38"/>
      <c r="AB12" s="38"/>
      <c r="AC12" s="38"/>
    </row>
    <row r="13" spans="1:29" s="39" customFormat="1" ht="13.8" x14ac:dyDescent="0.25">
      <c r="A13" s="89"/>
      <c r="B13" s="89"/>
      <c r="C13" s="188"/>
      <c r="D13" s="189"/>
      <c r="E13" s="188"/>
      <c r="F13" s="190"/>
      <c r="G13" s="106">
        <v>2</v>
      </c>
      <c r="H13" s="192"/>
      <c r="I13" s="168"/>
      <c r="J13" s="63"/>
      <c r="K13" s="191"/>
      <c r="L13" s="65"/>
      <c r="M13" s="111" t="s">
        <v>40</v>
      </c>
      <c r="N13" s="58" t="s">
        <v>329</v>
      </c>
      <c r="O13" s="168"/>
      <c r="P13" s="63"/>
      <c r="Q13" s="191"/>
      <c r="R13" s="65"/>
      <c r="S13" s="111" t="s">
        <v>40</v>
      </c>
      <c r="T13" s="58" t="s">
        <v>329</v>
      </c>
      <c r="U13" s="171"/>
      <c r="V13" s="63"/>
      <c r="W13" s="191"/>
      <c r="X13" s="65"/>
      <c r="Y13" s="111" t="s">
        <v>40</v>
      </c>
      <c r="Z13" s="58" t="s">
        <v>329</v>
      </c>
      <c r="AA13" s="38"/>
      <c r="AB13" s="38"/>
      <c r="AC13" s="38"/>
    </row>
    <row r="14" spans="1:29" s="39" customFormat="1" ht="13.8" x14ac:dyDescent="0.25">
      <c r="A14" s="89"/>
      <c r="B14" s="89"/>
      <c r="C14" s="188"/>
      <c r="D14" s="189"/>
      <c r="E14" s="188"/>
      <c r="F14" s="190"/>
      <c r="G14" s="106">
        <v>3</v>
      </c>
      <c r="H14" s="192"/>
      <c r="I14" s="168"/>
      <c r="J14" s="63"/>
      <c r="K14" s="191"/>
      <c r="L14" s="65"/>
      <c r="M14" s="111" t="s">
        <v>115</v>
      </c>
      <c r="N14" s="58" t="s">
        <v>329</v>
      </c>
      <c r="O14" s="168"/>
      <c r="P14" s="63"/>
      <c r="Q14" s="191"/>
      <c r="R14" s="65"/>
      <c r="S14" s="111" t="s">
        <v>115</v>
      </c>
      <c r="T14" s="58" t="s">
        <v>329</v>
      </c>
      <c r="U14" s="171"/>
      <c r="V14" s="63"/>
      <c r="W14" s="191"/>
      <c r="X14" s="65"/>
      <c r="Y14" s="111" t="s">
        <v>115</v>
      </c>
      <c r="Z14" s="58" t="s">
        <v>329</v>
      </c>
      <c r="AA14" s="38"/>
      <c r="AB14" s="38"/>
      <c r="AC14" s="38"/>
    </row>
    <row r="15" spans="1:29" s="39" customFormat="1" ht="13.8" x14ac:dyDescent="0.25">
      <c r="A15" s="89"/>
      <c r="B15" s="89"/>
      <c r="C15" s="188"/>
      <c r="D15" s="189"/>
      <c r="E15" s="188"/>
      <c r="F15" s="190"/>
      <c r="G15" s="106">
        <v>4</v>
      </c>
      <c r="H15" s="192"/>
      <c r="I15" s="168"/>
      <c r="J15" s="63"/>
      <c r="K15" s="191"/>
      <c r="L15" s="65"/>
      <c r="M15" s="111" t="s">
        <v>41</v>
      </c>
      <c r="N15" s="58" t="s">
        <v>329</v>
      </c>
      <c r="O15" s="168"/>
      <c r="P15" s="63"/>
      <c r="Q15" s="191"/>
      <c r="R15" s="65"/>
      <c r="S15" s="111" t="s">
        <v>41</v>
      </c>
      <c r="T15" s="58" t="s">
        <v>329</v>
      </c>
      <c r="U15" s="171"/>
      <c r="V15" s="63"/>
      <c r="W15" s="191"/>
      <c r="X15" s="65"/>
      <c r="Y15" s="111" t="s">
        <v>41</v>
      </c>
      <c r="Z15" s="58" t="s">
        <v>329</v>
      </c>
      <c r="AA15" s="38"/>
      <c r="AB15" s="38"/>
      <c r="AC15" s="38"/>
    </row>
    <row r="16" spans="1:29" s="39" customFormat="1" ht="13.8" x14ac:dyDescent="0.25">
      <c r="A16" s="92"/>
      <c r="B16" s="92"/>
      <c r="C16" s="71"/>
      <c r="D16" s="72"/>
      <c r="E16" s="71"/>
      <c r="F16" s="190"/>
      <c r="G16" s="106">
        <v>5</v>
      </c>
      <c r="H16" s="192"/>
      <c r="I16" s="168"/>
      <c r="J16" s="63"/>
      <c r="K16" s="191"/>
      <c r="L16" s="65"/>
      <c r="M16" s="111" t="s">
        <v>42</v>
      </c>
      <c r="N16" s="58" t="s">
        <v>329</v>
      </c>
      <c r="O16" s="168"/>
      <c r="P16" s="63"/>
      <c r="Q16" s="191"/>
      <c r="R16" s="65"/>
      <c r="S16" s="111" t="s">
        <v>42</v>
      </c>
      <c r="T16" s="58" t="s">
        <v>329</v>
      </c>
      <c r="U16" s="171"/>
      <c r="V16" s="63"/>
      <c r="W16" s="191"/>
      <c r="X16" s="65"/>
      <c r="Y16" s="111" t="s">
        <v>42</v>
      </c>
      <c r="Z16" s="58" t="s">
        <v>329</v>
      </c>
    </row>
    <row r="17" spans="1:29" s="39" customFormat="1" ht="13.8" x14ac:dyDescent="0.25">
      <c r="A17" s="102"/>
      <c r="B17" s="103"/>
      <c r="C17" s="188"/>
      <c r="D17" s="189"/>
      <c r="E17" s="188"/>
      <c r="F17" s="190"/>
      <c r="G17" s="106"/>
      <c r="H17" s="51"/>
      <c r="I17" s="193"/>
      <c r="J17" s="63"/>
      <c r="K17" s="191"/>
      <c r="L17" s="65"/>
      <c r="M17" s="111" t="s">
        <v>394</v>
      </c>
      <c r="N17" s="58" t="s">
        <v>329</v>
      </c>
      <c r="O17" s="168"/>
      <c r="P17" s="104"/>
      <c r="Q17" s="191"/>
      <c r="R17" s="105"/>
      <c r="S17" s="111" t="s">
        <v>394</v>
      </c>
      <c r="T17" s="58" t="s">
        <v>329</v>
      </c>
      <c r="U17" s="171"/>
      <c r="V17" s="104"/>
      <c r="W17" s="191"/>
      <c r="X17" s="105"/>
      <c r="Y17" s="111" t="s">
        <v>394</v>
      </c>
      <c r="Z17" s="58" t="s">
        <v>329</v>
      </c>
    </row>
    <row r="18" spans="1:29" s="39" customFormat="1" ht="13.8" x14ac:dyDescent="0.25">
      <c r="A18" s="126"/>
      <c r="B18" s="126"/>
      <c r="C18" s="181"/>
      <c r="D18" s="182"/>
      <c r="E18" s="181"/>
      <c r="F18" s="183"/>
      <c r="G18" s="184" t="s">
        <v>55</v>
      </c>
      <c r="H18" s="185" t="s">
        <v>326</v>
      </c>
      <c r="I18" s="168"/>
      <c r="J18" s="62"/>
      <c r="K18" s="186"/>
      <c r="L18" s="64"/>
      <c r="M18" s="66"/>
      <c r="N18" s="59"/>
      <c r="O18" s="168"/>
      <c r="P18" s="62"/>
      <c r="Q18" s="186"/>
      <c r="R18" s="64"/>
      <c r="S18" s="66"/>
      <c r="T18" s="59"/>
      <c r="U18" s="171"/>
      <c r="V18" s="62"/>
      <c r="W18" s="186"/>
      <c r="X18" s="64"/>
      <c r="Y18" s="66"/>
      <c r="Z18" s="59"/>
      <c r="AA18" s="38"/>
      <c r="AB18" s="38"/>
      <c r="AC18" s="38"/>
    </row>
    <row r="19" spans="1:29" s="39" customFormat="1" ht="13.8" x14ac:dyDescent="0.25">
      <c r="A19" s="89"/>
      <c r="B19" s="89"/>
      <c r="C19" s="188"/>
      <c r="D19" s="189"/>
      <c r="E19" s="188"/>
      <c r="F19" s="190">
        <f t="shared" ref="F19:F27" si="0">E19*C19</f>
        <v>0</v>
      </c>
      <c r="G19" s="106">
        <v>1</v>
      </c>
      <c r="H19" s="51"/>
      <c r="I19" s="168"/>
      <c r="J19" s="63"/>
      <c r="K19" s="191"/>
      <c r="L19" s="65"/>
      <c r="M19" s="67">
        <f>L19*J19</f>
        <v>0</v>
      </c>
      <c r="N19" s="58"/>
      <c r="O19" s="168"/>
      <c r="P19" s="63"/>
      <c r="Q19" s="191"/>
      <c r="R19" s="65"/>
      <c r="S19" s="67">
        <f>R19*P19</f>
        <v>0</v>
      </c>
      <c r="T19" s="58"/>
      <c r="U19" s="171"/>
      <c r="V19" s="63"/>
      <c r="W19" s="191"/>
      <c r="X19" s="65"/>
      <c r="Y19" s="67">
        <f>X19*V19</f>
        <v>0</v>
      </c>
      <c r="Z19" s="58"/>
      <c r="AA19" s="38"/>
      <c r="AB19" s="38"/>
      <c r="AC19" s="38"/>
    </row>
    <row r="20" spans="1:29" s="39" customFormat="1" ht="13.8" x14ac:dyDescent="0.25">
      <c r="A20" s="89"/>
      <c r="B20" s="89"/>
      <c r="C20" s="188"/>
      <c r="D20" s="189"/>
      <c r="E20" s="188"/>
      <c r="F20" s="190">
        <f t="shared" si="0"/>
        <v>0</v>
      </c>
      <c r="G20" s="106">
        <v>2</v>
      </c>
      <c r="H20" s="51"/>
      <c r="I20" s="168"/>
      <c r="J20" s="63"/>
      <c r="K20" s="191"/>
      <c r="L20" s="65"/>
      <c r="M20" s="67">
        <f t="shared" ref="M20:M49" si="1">L20*J20</f>
        <v>0</v>
      </c>
      <c r="N20" s="58"/>
      <c r="O20" s="168"/>
      <c r="P20" s="63"/>
      <c r="Q20" s="191"/>
      <c r="R20" s="65"/>
      <c r="S20" s="67">
        <f t="shared" ref="S20:S49" si="2">R20*P20</f>
        <v>0</v>
      </c>
      <c r="T20" s="58"/>
      <c r="U20" s="171"/>
      <c r="V20" s="63"/>
      <c r="W20" s="191"/>
      <c r="X20" s="65"/>
      <c r="Y20" s="67">
        <f t="shared" ref="Y20:Y49" si="3">X20*V20</f>
        <v>0</v>
      </c>
      <c r="Z20" s="58"/>
    </row>
    <row r="21" spans="1:29" s="39" customFormat="1" ht="13.8" x14ac:dyDescent="0.25">
      <c r="A21" s="89"/>
      <c r="B21" s="89"/>
      <c r="C21" s="188"/>
      <c r="D21" s="189"/>
      <c r="E21" s="188"/>
      <c r="F21" s="190">
        <f t="shared" si="0"/>
        <v>0</v>
      </c>
      <c r="G21" s="106">
        <v>3</v>
      </c>
      <c r="H21" s="51"/>
      <c r="I21" s="168"/>
      <c r="J21" s="63"/>
      <c r="K21" s="191"/>
      <c r="L21" s="65"/>
      <c r="M21" s="67">
        <f t="shared" si="1"/>
        <v>0</v>
      </c>
      <c r="N21" s="58"/>
      <c r="O21" s="168"/>
      <c r="P21" s="63"/>
      <c r="Q21" s="191"/>
      <c r="R21" s="65"/>
      <c r="S21" s="67">
        <f t="shared" si="2"/>
        <v>0</v>
      </c>
      <c r="T21" s="58"/>
      <c r="U21" s="171"/>
      <c r="V21" s="63"/>
      <c r="W21" s="191"/>
      <c r="X21" s="65"/>
      <c r="Y21" s="67">
        <f t="shared" si="3"/>
        <v>0</v>
      </c>
      <c r="Z21" s="58"/>
    </row>
    <row r="22" spans="1:29" s="39" customFormat="1" ht="13.8" x14ac:dyDescent="0.25">
      <c r="A22" s="89"/>
      <c r="B22" s="89"/>
      <c r="C22" s="188"/>
      <c r="D22" s="189"/>
      <c r="E22" s="188"/>
      <c r="F22" s="190">
        <f t="shared" si="0"/>
        <v>0</v>
      </c>
      <c r="G22" s="106">
        <v>4</v>
      </c>
      <c r="H22" s="51"/>
      <c r="I22" s="168"/>
      <c r="J22" s="63"/>
      <c r="K22" s="191"/>
      <c r="L22" s="65"/>
      <c r="M22" s="67">
        <f t="shared" si="1"/>
        <v>0</v>
      </c>
      <c r="N22" s="58"/>
      <c r="O22" s="168"/>
      <c r="P22" s="63"/>
      <c r="Q22" s="191"/>
      <c r="R22" s="65"/>
      <c r="S22" s="67">
        <f t="shared" si="2"/>
        <v>0</v>
      </c>
      <c r="T22" s="58"/>
      <c r="U22" s="171"/>
      <c r="V22" s="63"/>
      <c r="W22" s="191"/>
      <c r="X22" s="65"/>
      <c r="Y22" s="67">
        <f t="shared" si="3"/>
        <v>0</v>
      </c>
      <c r="Z22" s="58"/>
    </row>
    <row r="23" spans="1:29" s="39" customFormat="1" ht="13.8" x14ac:dyDescent="0.25">
      <c r="A23" s="89"/>
      <c r="B23" s="89"/>
      <c r="C23" s="188"/>
      <c r="D23" s="189"/>
      <c r="E23" s="188"/>
      <c r="F23" s="190">
        <f t="shared" si="0"/>
        <v>0</v>
      </c>
      <c r="G23" s="106">
        <v>5</v>
      </c>
      <c r="H23" s="51"/>
      <c r="I23" s="168"/>
      <c r="J23" s="63"/>
      <c r="K23" s="191"/>
      <c r="L23" s="65"/>
      <c r="M23" s="67">
        <f t="shared" si="1"/>
        <v>0</v>
      </c>
      <c r="N23" s="58"/>
      <c r="O23" s="168"/>
      <c r="P23" s="63"/>
      <c r="Q23" s="191"/>
      <c r="R23" s="65"/>
      <c r="S23" s="67">
        <f t="shared" si="2"/>
        <v>0</v>
      </c>
      <c r="T23" s="58"/>
      <c r="U23" s="171"/>
      <c r="V23" s="63"/>
      <c r="W23" s="191"/>
      <c r="X23" s="65"/>
      <c r="Y23" s="67">
        <f t="shared" si="3"/>
        <v>0</v>
      </c>
      <c r="Z23" s="58"/>
    </row>
    <row r="24" spans="1:29" s="39" customFormat="1" ht="13.8" x14ac:dyDescent="0.25">
      <c r="A24" s="89"/>
      <c r="B24" s="89"/>
      <c r="C24" s="188"/>
      <c r="D24" s="189"/>
      <c r="E24" s="188"/>
      <c r="F24" s="190">
        <f t="shared" si="0"/>
        <v>0</v>
      </c>
      <c r="G24" s="106">
        <v>6</v>
      </c>
      <c r="H24" s="51"/>
      <c r="I24" s="168"/>
      <c r="J24" s="63"/>
      <c r="K24" s="191"/>
      <c r="L24" s="65"/>
      <c r="M24" s="67">
        <f t="shared" si="1"/>
        <v>0</v>
      </c>
      <c r="N24" s="58"/>
      <c r="O24" s="168"/>
      <c r="P24" s="63"/>
      <c r="Q24" s="191"/>
      <c r="R24" s="65"/>
      <c r="S24" s="67">
        <f t="shared" si="2"/>
        <v>0</v>
      </c>
      <c r="T24" s="58"/>
      <c r="U24" s="171"/>
      <c r="V24" s="63"/>
      <c r="W24" s="191"/>
      <c r="X24" s="65"/>
      <c r="Y24" s="67">
        <f t="shared" si="3"/>
        <v>0</v>
      </c>
      <c r="Z24" s="58"/>
    </row>
    <row r="25" spans="1:29" s="39" customFormat="1" ht="13.8" x14ac:dyDescent="0.25">
      <c r="A25" s="89"/>
      <c r="B25" s="89"/>
      <c r="C25" s="188"/>
      <c r="D25" s="189"/>
      <c r="E25" s="188"/>
      <c r="F25" s="190">
        <f t="shared" si="0"/>
        <v>0</v>
      </c>
      <c r="G25" s="106">
        <v>7</v>
      </c>
      <c r="H25" s="51"/>
      <c r="I25" s="168"/>
      <c r="J25" s="63"/>
      <c r="K25" s="191"/>
      <c r="L25" s="65"/>
      <c r="M25" s="67">
        <f t="shared" si="1"/>
        <v>0</v>
      </c>
      <c r="N25" s="58"/>
      <c r="O25" s="168"/>
      <c r="P25" s="63"/>
      <c r="Q25" s="191"/>
      <c r="R25" s="65"/>
      <c r="S25" s="67">
        <f t="shared" si="2"/>
        <v>0</v>
      </c>
      <c r="T25" s="58"/>
      <c r="U25" s="171"/>
      <c r="V25" s="63"/>
      <c r="W25" s="191"/>
      <c r="X25" s="65"/>
      <c r="Y25" s="67">
        <f t="shared" si="3"/>
        <v>0</v>
      </c>
      <c r="Z25" s="58"/>
    </row>
    <row r="26" spans="1:29" s="39" customFormat="1" ht="13.8" x14ac:dyDescent="0.25">
      <c r="A26" s="89"/>
      <c r="B26" s="89"/>
      <c r="C26" s="188"/>
      <c r="D26" s="189"/>
      <c r="E26" s="188"/>
      <c r="F26" s="190">
        <f t="shared" si="0"/>
        <v>0</v>
      </c>
      <c r="G26" s="106">
        <v>8</v>
      </c>
      <c r="H26" s="51"/>
      <c r="I26" s="168"/>
      <c r="J26" s="63"/>
      <c r="K26" s="191"/>
      <c r="L26" s="65"/>
      <c r="M26" s="67">
        <f t="shared" si="1"/>
        <v>0</v>
      </c>
      <c r="N26" s="58"/>
      <c r="O26" s="168"/>
      <c r="P26" s="63"/>
      <c r="Q26" s="191"/>
      <c r="R26" s="65"/>
      <c r="S26" s="67">
        <f t="shared" si="2"/>
        <v>0</v>
      </c>
      <c r="T26" s="58"/>
      <c r="U26" s="171"/>
      <c r="V26" s="63"/>
      <c r="W26" s="191"/>
      <c r="X26" s="65"/>
      <c r="Y26" s="67">
        <f t="shared" si="3"/>
        <v>0</v>
      </c>
      <c r="Z26" s="58"/>
    </row>
    <row r="27" spans="1:29" s="39" customFormat="1" ht="13.8" x14ac:dyDescent="0.25">
      <c r="A27" s="89"/>
      <c r="B27" s="89"/>
      <c r="C27" s="188"/>
      <c r="D27" s="189"/>
      <c r="E27" s="188"/>
      <c r="F27" s="190">
        <f t="shared" si="0"/>
        <v>0</v>
      </c>
      <c r="G27" s="106">
        <v>9</v>
      </c>
      <c r="H27" s="51"/>
      <c r="I27" s="168"/>
      <c r="J27" s="63"/>
      <c r="K27" s="191"/>
      <c r="L27" s="65"/>
      <c r="M27" s="67">
        <f t="shared" si="1"/>
        <v>0</v>
      </c>
      <c r="N27" s="58"/>
      <c r="O27" s="168"/>
      <c r="P27" s="63"/>
      <c r="Q27" s="191"/>
      <c r="R27" s="65"/>
      <c r="S27" s="67">
        <f t="shared" si="2"/>
        <v>0</v>
      </c>
      <c r="T27" s="58"/>
      <c r="U27" s="171"/>
      <c r="V27" s="63"/>
      <c r="W27" s="191"/>
      <c r="X27" s="65"/>
      <c r="Y27" s="67">
        <f t="shared" si="3"/>
        <v>0</v>
      </c>
      <c r="Z27" s="58"/>
    </row>
    <row r="28" spans="1:29" s="39" customFormat="1" ht="13.8" x14ac:dyDescent="0.25">
      <c r="A28" s="89"/>
      <c r="B28" s="89"/>
      <c r="C28" s="188"/>
      <c r="D28" s="189"/>
      <c r="E28" s="188"/>
      <c r="F28" s="190">
        <f t="shared" ref="F28:F49" si="4">E28*C28</f>
        <v>0</v>
      </c>
      <c r="G28" s="106">
        <v>10</v>
      </c>
      <c r="H28" s="51"/>
      <c r="I28" s="168"/>
      <c r="J28" s="63"/>
      <c r="K28" s="191"/>
      <c r="L28" s="65"/>
      <c r="M28" s="67">
        <f t="shared" si="1"/>
        <v>0</v>
      </c>
      <c r="N28" s="58"/>
      <c r="O28" s="168"/>
      <c r="P28" s="63"/>
      <c r="Q28" s="191"/>
      <c r="R28" s="65"/>
      <c r="S28" s="67">
        <f t="shared" si="2"/>
        <v>0</v>
      </c>
      <c r="T28" s="58"/>
      <c r="U28" s="171"/>
      <c r="V28" s="63"/>
      <c r="W28" s="191"/>
      <c r="X28" s="65"/>
      <c r="Y28" s="67">
        <f t="shared" si="3"/>
        <v>0</v>
      </c>
      <c r="Z28" s="58"/>
    </row>
    <row r="29" spans="1:29" s="39" customFormat="1" ht="13.8" x14ac:dyDescent="0.25">
      <c r="A29" s="89"/>
      <c r="B29" s="89"/>
      <c r="C29" s="188"/>
      <c r="D29" s="189"/>
      <c r="E29" s="188"/>
      <c r="F29" s="190">
        <f t="shared" si="4"/>
        <v>0</v>
      </c>
      <c r="G29" s="106">
        <v>11</v>
      </c>
      <c r="H29" s="51"/>
      <c r="I29" s="168"/>
      <c r="J29" s="63"/>
      <c r="K29" s="191"/>
      <c r="L29" s="65"/>
      <c r="M29" s="67">
        <f t="shared" si="1"/>
        <v>0</v>
      </c>
      <c r="N29" s="58"/>
      <c r="O29" s="168"/>
      <c r="P29" s="63"/>
      <c r="Q29" s="191"/>
      <c r="R29" s="65"/>
      <c r="S29" s="67">
        <f t="shared" si="2"/>
        <v>0</v>
      </c>
      <c r="T29" s="58"/>
      <c r="U29" s="171"/>
      <c r="V29" s="63"/>
      <c r="W29" s="191"/>
      <c r="X29" s="65"/>
      <c r="Y29" s="67">
        <f t="shared" si="3"/>
        <v>0</v>
      </c>
      <c r="Z29" s="58"/>
    </row>
    <row r="30" spans="1:29" s="39" customFormat="1" ht="13.8" x14ac:dyDescent="0.25">
      <c r="A30" s="89"/>
      <c r="B30" s="89"/>
      <c r="C30" s="188"/>
      <c r="D30" s="189"/>
      <c r="E30" s="188"/>
      <c r="F30" s="190">
        <f t="shared" si="4"/>
        <v>0</v>
      </c>
      <c r="G30" s="106">
        <v>12</v>
      </c>
      <c r="H30" s="51"/>
      <c r="I30" s="168"/>
      <c r="J30" s="63"/>
      <c r="K30" s="191"/>
      <c r="L30" s="65"/>
      <c r="M30" s="67">
        <f t="shared" si="1"/>
        <v>0</v>
      </c>
      <c r="N30" s="58"/>
      <c r="O30" s="168"/>
      <c r="P30" s="63"/>
      <c r="Q30" s="191"/>
      <c r="R30" s="65"/>
      <c r="S30" s="67">
        <f t="shared" si="2"/>
        <v>0</v>
      </c>
      <c r="T30" s="58"/>
      <c r="U30" s="171"/>
      <c r="V30" s="63"/>
      <c r="W30" s="191"/>
      <c r="X30" s="65"/>
      <c r="Y30" s="67">
        <f t="shared" si="3"/>
        <v>0</v>
      </c>
      <c r="Z30" s="58"/>
    </row>
    <row r="31" spans="1:29" s="39" customFormat="1" ht="13.8" x14ac:dyDescent="0.25">
      <c r="A31" s="89"/>
      <c r="B31" s="89"/>
      <c r="C31" s="188"/>
      <c r="D31" s="189"/>
      <c r="E31" s="188"/>
      <c r="F31" s="190">
        <f t="shared" si="4"/>
        <v>0</v>
      </c>
      <c r="G31" s="106">
        <v>13</v>
      </c>
      <c r="H31" s="51"/>
      <c r="I31" s="168"/>
      <c r="J31" s="63"/>
      <c r="K31" s="191"/>
      <c r="L31" s="65"/>
      <c r="M31" s="67">
        <f t="shared" si="1"/>
        <v>0</v>
      </c>
      <c r="N31" s="58"/>
      <c r="O31" s="168"/>
      <c r="P31" s="63"/>
      <c r="Q31" s="191"/>
      <c r="R31" s="65"/>
      <c r="S31" s="67">
        <f t="shared" si="2"/>
        <v>0</v>
      </c>
      <c r="T31" s="58"/>
      <c r="U31" s="171"/>
      <c r="V31" s="63"/>
      <c r="W31" s="191"/>
      <c r="X31" s="65"/>
      <c r="Y31" s="67">
        <f t="shared" si="3"/>
        <v>0</v>
      </c>
      <c r="Z31" s="58"/>
    </row>
    <row r="32" spans="1:29" s="39" customFormat="1" ht="13.8" x14ac:dyDescent="0.25">
      <c r="A32" s="89"/>
      <c r="B32" s="89"/>
      <c r="C32" s="188"/>
      <c r="D32" s="189"/>
      <c r="E32" s="188"/>
      <c r="F32" s="190">
        <f t="shared" si="4"/>
        <v>0</v>
      </c>
      <c r="G32" s="106">
        <v>14</v>
      </c>
      <c r="H32" s="51"/>
      <c r="I32" s="168"/>
      <c r="J32" s="63"/>
      <c r="K32" s="191"/>
      <c r="L32" s="65"/>
      <c r="M32" s="67">
        <f t="shared" si="1"/>
        <v>0</v>
      </c>
      <c r="N32" s="58"/>
      <c r="O32" s="168"/>
      <c r="P32" s="63"/>
      <c r="Q32" s="191"/>
      <c r="R32" s="65"/>
      <c r="S32" s="67">
        <f t="shared" si="2"/>
        <v>0</v>
      </c>
      <c r="T32" s="58"/>
      <c r="U32" s="171"/>
      <c r="V32" s="63"/>
      <c r="W32" s="191"/>
      <c r="X32" s="65"/>
      <c r="Y32" s="67">
        <f t="shared" si="3"/>
        <v>0</v>
      </c>
      <c r="Z32" s="58"/>
    </row>
    <row r="33" spans="1:26" s="39" customFormat="1" ht="13.8" x14ac:dyDescent="0.25">
      <c r="A33" s="89"/>
      <c r="B33" s="89"/>
      <c r="C33" s="188"/>
      <c r="D33" s="189"/>
      <c r="E33" s="188"/>
      <c r="F33" s="190">
        <f t="shared" si="4"/>
        <v>0</v>
      </c>
      <c r="G33" s="106">
        <v>15</v>
      </c>
      <c r="H33" s="51"/>
      <c r="I33" s="168"/>
      <c r="J33" s="63"/>
      <c r="K33" s="191"/>
      <c r="L33" s="65"/>
      <c r="M33" s="67">
        <f t="shared" si="1"/>
        <v>0</v>
      </c>
      <c r="N33" s="58"/>
      <c r="O33" s="168"/>
      <c r="P33" s="63"/>
      <c r="Q33" s="191"/>
      <c r="R33" s="65"/>
      <c r="S33" s="67">
        <f t="shared" si="2"/>
        <v>0</v>
      </c>
      <c r="T33" s="58"/>
      <c r="U33" s="171"/>
      <c r="V33" s="63"/>
      <c r="W33" s="191"/>
      <c r="X33" s="65"/>
      <c r="Y33" s="67">
        <f t="shared" si="3"/>
        <v>0</v>
      </c>
      <c r="Z33" s="58"/>
    </row>
    <row r="34" spans="1:26" s="39" customFormat="1" ht="13.8" x14ac:dyDescent="0.25">
      <c r="A34" s="89"/>
      <c r="B34" s="89"/>
      <c r="C34" s="188"/>
      <c r="D34" s="189"/>
      <c r="E34" s="188"/>
      <c r="F34" s="190">
        <f t="shared" si="4"/>
        <v>0</v>
      </c>
      <c r="G34" s="106">
        <v>16</v>
      </c>
      <c r="H34" s="51"/>
      <c r="I34" s="168"/>
      <c r="J34" s="63"/>
      <c r="K34" s="191"/>
      <c r="L34" s="65"/>
      <c r="M34" s="67">
        <f t="shared" si="1"/>
        <v>0</v>
      </c>
      <c r="N34" s="58"/>
      <c r="O34" s="168"/>
      <c r="P34" s="63"/>
      <c r="Q34" s="191"/>
      <c r="R34" s="65"/>
      <c r="S34" s="67">
        <f t="shared" si="2"/>
        <v>0</v>
      </c>
      <c r="T34" s="58"/>
      <c r="U34" s="171"/>
      <c r="V34" s="63"/>
      <c r="W34" s="191"/>
      <c r="X34" s="65"/>
      <c r="Y34" s="67">
        <f t="shared" si="3"/>
        <v>0</v>
      </c>
      <c r="Z34" s="58"/>
    </row>
    <row r="35" spans="1:26" s="39" customFormat="1" ht="13.8" x14ac:dyDescent="0.25">
      <c r="A35" s="89"/>
      <c r="B35" s="89"/>
      <c r="C35" s="188"/>
      <c r="D35" s="189"/>
      <c r="E35" s="188"/>
      <c r="F35" s="190">
        <f t="shared" si="4"/>
        <v>0</v>
      </c>
      <c r="G35" s="106">
        <v>17</v>
      </c>
      <c r="H35" s="51"/>
      <c r="I35" s="168"/>
      <c r="J35" s="63"/>
      <c r="K35" s="191"/>
      <c r="L35" s="65"/>
      <c r="M35" s="67">
        <f t="shared" si="1"/>
        <v>0</v>
      </c>
      <c r="N35" s="58"/>
      <c r="O35" s="168"/>
      <c r="P35" s="63"/>
      <c r="Q35" s="191"/>
      <c r="R35" s="65"/>
      <c r="S35" s="67">
        <f t="shared" si="2"/>
        <v>0</v>
      </c>
      <c r="T35" s="58"/>
      <c r="U35" s="171"/>
      <c r="V35" s="63"/>
      <c r="W35" s="191"/>
      <c r="X35" s="65"/>
      <c r="Y35" s="67">
        <f t="shared" si="3"/>
        <v>0</v>
      </c>
      <c r="Z35" s="58"/>
    </row>
    <row r="36" spans="1:26" s="39" customFormat="1" ht="13.8" x14ac:dyDescent="0.25">
      <c r="A36" s="89"/>
      <c r="B36" s="89"/>
      <c r="C36" s="188"/>
      <c r="D36" s="189"/>
      <c r="E36" s="188"/>
      <c r="F36" s="190">
        <f t="shared" si="4"/>
        <v>0</v>
      </c>
      <c r="G36" s="106">
        <v>18</v>
      </c>
      <c r="H36" s="51"/>
      <c r="I36" s="168"/>
      <c r="J36" s="63"/>
      <c r="K36" s="191"/>
      <c r="L36" s="65"/>
      <c r="M36" s="67">
        <f t="shared" si="1"/>
        <v>0</v>
      </c>
      <c r="N36" s="58"/>
      <c r="O36" s="168"/>
      <c r="P36" s="63"/>
      <c r="Q36" s="191"/>
      <c r="R36" s="65"/>
      <c r="S36" s="67">
        <f t="shared" si="2"/>
        <v>0</v>
      </c>
      <c r="T36" s="58"/>
      <c r="U36" s="171"/>
      <c r="V36" s="63"/>
      <c r="W36" s="191"/>
      <c r="X36" s="65"/>
      <c r="Y36" s="67">
        <f t="shared" si="3"/>
        <v>0</v>
      </c>
      <c r="Z36" s="58"/>
    </row>
    <row r="37" spans="1:26" s="39" customFormat="1" ht="13.8" x14ac:dyDescent="0.25">
      <c r="A37" s="89"/>
      <c r="B37" s="89"/>
      <c r="C37" s="188"/>
      <c r="D37" s="189"/>
      <c r="E37" s="188"/>
      <c r="F37" s="190">
        <f t="shared" si="4"/>
        <v>0</v>
      </c>
      <c r="G37" s="106">
        <v>19</v>
      </c>
      <c r="H37" s="51"/>
      <c r="I37" s="168"/>
      <c r="J37" s="63"/>
      <c r="K37" s="191"/>
      <c r="L37" s="65"/>
      <c r="M37" s="67">
        <f t="shared" si="1"/>
        <v>0</v>
      </c>
      <c r="N37" s="58"/>
      <c r="O37" s="168"/>
      <c r="P37" s="63"/>
      <c r="Q37" s="191"/>
      <c r="R37" s="65"/>
      <c r="S37" s="67">
        <f t="shared" si="2"/>
        <v>0</v>
      </c>
      <c r="T37" s="58"/>
      <c r="U37" s="171"/>
      <c r="V37" s="63"/>
      <c r="W37" s="191"/>
      <c r="X37" s="65"/>
      <c r="Y37" s="67">
        <f t="shared" si="3"/>
        <v>0</v>
      </c>
      <c r="Z37" s="58"/>
    </row>
    <row r="38" spans="1:26" s="39" customFormat="1" ht="13.8" x14ac:dyDescent="0.25">
      <c r="A38" s="89"/>
      <c r="B38" s="89"/>
      <c r="C38" s="188"/>
      <c r="D38" s="189"/>
      <c r="E38" s="188"/>
      <c r="F38" s="190">
        <f t="shared" si="4"/>
        <v>0</v>
      </c>
      <c r="G38" s="106">
        <v>20</v>
      </c>
      <c r="H38" s="51"/>
      <c r="I38" s="168"/>
      <c r="J38" s="63"/>
      <c r="K38" s="191"/>
      <c r="L38" s="65"/>
      <c r="M38" s="67">
        <f t="shared" si="1"/>
        <v>0</v>
      </c>
      <c r="N38" s="58"/>
      <c r="O38" s="168"/>
      <c r="P38" s="63"/>
      <c r="Q38" s="191"/>
      <c r="R38" s="65"/>
      <c r="S38" s="67">
        <f t="shared" si="2"/>
        <v>0</v>
      </c>
      <c r="T38" s="58"/>
      <c r="U38" s="171"/>
      <c r="V38" s="63"/>
      <c r="W38" s="191"/>
      <c r="X38" s="65"/>
      <c r="Y38" s="67">
        <f t="shared" si="3"/>
        <v>0</v>
      </c>
      <c r="Z38" s="58"/>
    </row>
    <row r="39" spans="1:26" s="39" customFormat="1" ht="13.8" x14ac:dyDescent="0.25">
      <c r="A39" s="89"/>
      <c r="B39" s="89"/>
      <c r="C39" s="188"/>
      <c r="D39" s="189"/>
      <c r="E39" s="188"/>
      <c r="F39" s="190">
        <f t="shared" si="4"/>
        <v>0</v>
      </c>
      <c r="G39" s="106">
        <v>21</v>
      </c>
      <c r="H39" s="51"/>
      <c r="I39" s="168"/>
      <c r="J39" s="63"/>
      <c r="K39" s="191"/>
      <c r="L39" s="65"/>
      <c r="M39" s="67">
        <f t="shared" si="1"/>
        <v>0</v>
      </c>
      <c r="N39" s="58"/>
      <c r="O39" s="168"/>
      <c r="P39" s="63"/>
      <c r="Q39" s="191"/>
      <c r="R39" s="65"/>
      <c r="S39" s="67">
        <f t="shared" si="2"/>
        <v>0</v>
      </c>
      <c r="T39" s="58"/>
      <c r="U39" s="171"/>
      <c r="V39" s="63"/>
      <c r="W39" s="191"/>
      <c r="X39" s="65"/>
      <c r="Y39" s="67">
        <f t="shared" si="3"/>
        <v>0</v>
      </c>
      <c r="Z39" s="58"/>
    </row>
    <row r="40" spans="1:26" s="39" customFormat="1" ht="13.8" x14ac:dyDescent="0.25">
      <c r="A40" s="89"/>
      <c r="B40" s="89"/>
      <c r="C40" s="188"/>
      <c r="D40" s="189"/>
      <c r="E40" s="188"/>
      <c r="F40" s="190">
        <f t="shared" si="4"/>
        <v>0</v>
      </c>
      <c r="G40" s="106">
        <v>22</v>
      </c>
      <c r="H40" s="51"/>
      <c r="I40" s="168"/>
      <c r="J40" s="63"/>
      <c r="K40" s="191"/>
      <c r="L40" s="65"/>
      <c r="M40" s="67">
        <f t="shared" si="1"/>
        <v>0</v>
      </c>
      <c r="N40" s="58"/>
      <c r="O40" s="168"/>
      <c r="P40" s="63"/>
      <c r="Q40" s="191"/>
      <c r="R40" s="65"/>
      <c r="S40" s="67">
        <f t="shared" si="2"/>
        <v>0</v>
      </c>
      <c r="T40" s="58"/>
      <c r="U40" s="171"/>
      <c r="V40" s="63"/>
      <c r="W40" s="191"/>
      <c r="X40" s="65"/>
      <c r="Y40" s="67">
        <f t="shared" si="3"/>
        <v>0</v>
      </c>
      <c r="Z40" s="58"/>
    </row>
    <row r="41" spans="1:26" s="39" customFormat="1" ht="13.8" x14ac:dyDescent="0.25">
      <c r="A41" s="89"/>
      <c r="B41" s="89"/>
      <c r="C41" s="188"/>
      <c r="D41" s="189"/>
      <c r="E41" s="188"/>
      <c r="F41" s="190">
        <f t="shared" si="4"/>
        <v>0</v>
      </c>
      <c r="G41" s="106">
        <v>23</v>
      </c>
      <c r="H41" s="51"/>
      <c r="I41" s="168"/>
      <c r="J41" s="63"/>
      <c r="K41" s="191"/>
      <c r="L41" s="65"/>
      <c r="M41" s="67">
        <f t="shared" si="1"/>
        <v>0</v>
      </c>
      <c r="N41" s="58"/>
      <c r="O41" s="168"/>
      <c r="P41" s="63"/>
      <c r="Q41" s="191"/>
      <c r="R41" s="65"/>
      <c r="S41" s="67">
        <f t="shared" si="2"/>
        <v>0</v>
      </c>
      <c r="T41" s="58"/>
      <c r="U41" s="171"/>
      <c r="V41" s="63"/>
      <c r="W41" s="191"/>
      <c r="X41" s="65"/>
      <c r="Y41" s="67">
        <f t="shared" si="3"/>
        <v>0</v>
      </c>
      <c r="Z41" s="58"/>
    </row>
    <row r="42" spans="1:26" s="39" customFormat="1" ht="13.8" x14ac:dyDescent="0.25">
      <c r="A42" s="89"/>
      <c r="B42" s="89"/>
      <c r="C42" s="188"/>
      <c r="D42" s="189"/>
      <c r="E42" s="188"/>
      <c r="F42" s="190">
        <f t="shared" si="4"/>
        <v>0</v>
      </c>
      <c r="G42" s="106">
        <v>24</v>
      </c>
      <c r="H42" s="51"/>
      <c r="I42" s="168"/>
      <c r="J42" s="63"/>
      <c r="K42" s="191"/>
      <c r="L42" s="65"/>
      <c r="M42" s="67">
        <f t="shared" si="1"/>
        <v>0</v>
      </c>
      <c r="N42" s="58"/>
      <c r="O42" s="168"/>
      <c r="P42" s="63"/>
      <c r="Q42" s="191"/>
      <c r="R42" s="65"/>
      <c r="S42" s="67">
        <f t="shared" si="2"/>
        <v>0</v>
      </c>
      <c r="T42" s="58"/>
      <c r="U42" s="171"/>
      <c r="V42" s="63"/>
      <c r="W42" s="191"/>
      <c r="X42" s="65"/>
      <c r="Y42" s="67">
        <f t="shared" si="3"/>
        <v>0</v>
      </c>
      <c r="Z42" s="58"/>
    </row>
    <row r="43" spans="1:26" s="39" customFormat="1" ht="13.8" x14ac:dyDescent="0.25">
      <c r="A43" s="89"/>
      <c r="B43" s="89"/>
      <c r="C43" s="188"/>
      <c r="D43" s="189"/>
      <c r="E43" s="188"/>
      <c r="F43" s="190">
        <f t="shared" si="4"/>
        <v>0</v>
      </c>
      <c r="G43" s="106">
        <v>25</v>
      </c>
      <c r="H43" s="51"/>
      <c r="I43" s="168"/>
      <c r="J43" s="63"/>
      <c r="K43" s="191"/>
      <c r="L43" s="65"/>
      <c r="M43" s="67">
        <f t="shared" si="1"/>
        <v>0</v>
      </c>
      <c r="N43" s="58"/>
      <c r="O43" s="168"/>
      <c r="P43" s="63"/>
      <c r="Q43" s="191"/>
      <c r="R43" s="65"/>
      <c r="S43" s="67">
        <f t="shared" si="2"/>
        <v>0</v>
      </c>
      <c r="T43" s="58"/>
      <c r="U43" s="171"/>
      <c r="V43" s="63"/>
      <c r="W43" s="191"/>
      <c r="X43" s="65"/>
      <c r="Y43" s="67">
        <f t="shared" si="3"/>
        <v>0</v>
      </c>
      <c r="Z43" s="58"/>
    </row>
    <row r="44" spans="1:26" s="39" customFormat="1" ht="13.8" x14ac:dyDescent="0.25">
      <c r="A44" s="89"/>
      <c r="B44" s="89"/>
      <c r="C44" s="188"/>
      <c r="D44" s="189"/>
      <c r="E44" s="188"/>
      <c r="F44" s="190">
        <f t="shared" si="4"/>
        <v>0</v>
      </c>
      <c r="G44" s="106">
        <v>26</v>
      </c>
      <c r="H44" s="51"/>
      <c r="I44" s="168"/>
      <c r="J44" s="63"/>
      <c r="K44" s="191"/>
      <c r="L44" s="65"/>
      <c r="M44" s="67">
        <f t="shared" si="1"/>
        <v>0</v>
      </c>
      <c r="N44" s="58"/>
      <c r="O44" s="168"/>
      <c r="P44" s="63"/>
      <c r="Q44" s="191"/>
      <c r="R44" s="65"/>
      <c r="S44" s="67">
        <f t="shared" si="2"/>
        <v>0</v>
      </c>
      <c r="T44" s="58"/>
      <c r="U44" s="171"/>
      <c r="V44" s="63"/>
      <c r="W44" s="191"/>
      <c r="X44" s="65"/>
      <c r="Y44" s="67">
        <f t="shared" si="3"/>
        <v>0</v>
      </c>
      <c r="Z44" s="58"/>
    </row>
    <row r="45" spans="1:26" s="39" customFormat="1" ht="13.8" x14ac:dyDescent="0.25">
      <c r="A45" s="89"/>
      <c r="B45" s="89"/>
      <c r="C45" s="188"/>
      <c r="D45" s="189"/>
      <c r="E45" s="188"/>
      <c r="F45" s="190">
        <f t="shared" si="4"/>
        <v>0</v>
      </c>
      <c r="G45" s="106">
        <v>27</v>
      </c>
      <c r="H45" s="51"/>
      <c r="I45" s="168"/>
      <c r="J45" s="63"/>
      <c r="K45" s="191"/>
      <c r="L45" s="65"/>
      <c r="M45" s="67">
        <f t="shared" si="1"/>
        <v>0</v>
      </c>
      <c r="N45" s="58"/>
      <c r="O45" s="168"/>
      <c r="P45" s="63"/>
      <c r="Q45" s="191"/>
      <c r="R45" s="65"/>
      <c r="S45" s="67">
        <f t="shared" si="2"/>
        <v>0</v>
      </c>
      <c r="T45" s="58"/>
      <c r="U45" s="171"/>
      <c r="V45" s="63"/>
      <c r="W45" s="191"/>
      <c r="X45" s="65"/>
      <c r="Y45" s="67">
        <f t="shared" si="3"/>
        <v>0</v>
      </c>
      <c r="Z45" s="58"/>
    </row>
    <row r="46" spans="1:26" s="39" customFormat="1" ht="13.8" x14ac:dyDescent="0.25">
      <c r="A46" s="89"/>
      <c r="B46" s="89"/>
      <c r="C46" s="188"/>
      <c r="D46" s="189"/>
      <c r="E46" s="188"/>
      <c r="F46" s="190">
        <f t="shared" si="4"/>
        <v>0</v>
      </c>
      <c r="G46" s="106">
        <v>28</v>
      </c>
      <c r="H46" s="51"/>
      <c r="I46" s="168"/>
      <c r="J46" s="63"/>
      <c r="K46" s="191"/>
      <c r="L46" s="65"/>
      <c r="M46" s="67">
        <f t="shared" si="1"/>
        <v>0</v>
      </c>
      <c r="N46" s="58"/>
      <c r="O46" s="168"/>
      <c r="P46" s="63"/>
      <c r="Q46" s="191"/>
      <c r="R46" s="65"/>
      <c r="S46" s="67">
        <f t="shared" si="2"/>
        <v>0</v>
      </c>
      <c r="T46" s="58"/>
      <c r="U46" s="171"/>
      <c r="V46" s="63"/>
      <c r="W46" s="191"/>
      <c r="X46" s="65"/>
      <c r="Y46" s="67">
        <f t="shared" si="3"/>
        <v>0</v>
      </c>
      <c r="Z46" s="58"/>
    </row>
    <row r="47" spans="1:26" s="39" customFormat="1" ht="13.8" x14ac:dyDescent="0.25">
      <c r="A47" s="89"/>
      <c r="B47" s="89"/>
      <c r="C47" s="188"/>
      <c r="D47" s="189"/>
      <c r="E47" s="188"/>
      <c r="F47" s="190">
        <f t="shared" si="4"/>
        <v>0</v>
      </c>
      <c r="G47" s="106">
        <v>29</v>
      </c>
      <c r="H47" s="51"/>
      <c r="I47" s="168"/>
      <c r="J47" s="63"/>
      <c r="K47" s="191"/>
      <c r="L47" s="65"/>
      <c r="M47" s="67">
        <f t="shared" si="1"/>
        <v>0</v>
      </c>
      <c r="N47" s="58"/>
      <c r="O47" s="168"/>
      <c r="P47" s="63"/>
      <c r="Q47" s="191"/>
      <c r="R47" s="65"/>
      <c r="S47" s="67">
        <f t="shared" si="2"/>
        <v>0</v>
      </c>
      <c r="T47" s="58"/>
      <c r="U47" s="171"/>
      <c r="V47" s="63"/>
      <c r="W47" s="191"/>
      <c r="X47" s="65"/>
      <c r="Y47" s="67">
        <f t="shared" si="3"/>
        <v>0</v>
      </c>
      <c r="Z47" s="58"/>
    </row>
    <row r="48" spans="1:26" s="39" customFormat="1" ht="13.8" x14ac:dyDescent="0.25">
      <c r="A48" s="89"/>
      <c r="B48" s="89"/>
      <c r="C48" s="188"/>
      <c r="D48" s="189"/>
      <c r="E48" s="188"/>
      <c r="F48" s="190">
        <f t="shared" si="4"/>
        <v>0</v>
      </c>
      <c r="G48" s="106">
        <v>30</v>
      </c>
      <c r="H48" s="51"/>
      <c r="I48" s="168"/>
      <c r="J48" s="63"/>
      <c r="K48" s="191"/>
      <c r="L48" s="65"/>
      <c r="M48" s="67">
        <f t="shared" si="1"/>
        <v>0</v>
      </c>
      <c r="N48" s="58"/>
      <c r="O48" s="168"/>
      <c r="P48" s="63"/>
      <c r="Q48" s="191"/>
      <c r="R48" s="65"/>
      <c r="S48" s="67">
        <f t="shared" si="2"/>
        <v>0</v>
      </c>
      <c r="T48" s="58"/>
      <c r="U48" s="171"/>
      <c r="V48" s="63"/>
      <c r="W48" s="191"/>
      <c r="X48" s="65"/>
      <c r="Y48" s="67">
        <f t="shared" si="3"/>
        <v>0</v>
      </c>
      <c r="Z48" s="58"/>
    </row>
    <row r="49" spans="1:29" s="39" customFormat="1" ht="13.8" x14ac:dyDescent="0.25">
      <c r="A49" s="89"/>
      <c r="B49" s="89"/>
      <c r="C49" s="188"/>
      <c r="D49" s="189"/>
      <c r="E49" s="188"/>
      <c r="F49" s="190">
        <f t="shared" si="4"/>
        <v>0</v>
      </c>
      <c r="G49" s="106"/>
      <c r="H49" s="51"/>
      <c r="I49" s="168"/>
      <c r="J49" s="63"/>
      <c r="K49" s="191"/>
      <c r="L49" s="65"/>
      <c r="M49" s="67">
        <f t="shared" si="1"/>
        <v>0</v>
      </c>
      <c r="N49" s="58"/>
      <c r="O49" s="168"/>
      <c r="P49" s="63"/>
      <c r="Q49" s="191"/>
      <c r="R49" s="65"/>
      <c r="S49" s="67">
        <f t="shared" si="2"/>
        <v>0</v>
      </c>
      <c r="T49" s="58"/>
      <c r="U49" s="171"/>
      <c r="V49" s="63"/>
      <c r="W49" s="191"/>
      <c r="X49" s="65"/>
      <c r="Y49" s="67">
        <f t="shared" si="3"/>
        <v>0</v>
      </c>
      <c r="Z49" s="58"/>
    </row>
    <row r="50" spans="1:29" s="39" customFormat="1" ht="13.8" x14ac:dyDescent="0.25">
      <c r="A50" s="126"/>
      <c r="B50" s="126"/>
      <c r="C50" s="181"/>
      <c r="D50" s="182"/>
      <c r="E50" s="181"/>
      <c r="F50" s="183"/>
      <c r="G50" s="184" t="s">
        <v>56</v>
      </c>
      <c r="H50" s="185" t="s">
        <v>57</v>
      </c>
      <c r="I50" s="168"/>
      <c r="J50" s="62"/>
      <c r="K50" s="186"/>
      <c r="L50" s="64"/>
      <c r="M50" s="66"/>
      <c r="N50" s="59"/>
      <c r="O50" s="168"/>
      <c r="P50" s="62"/>
      <c r="Q50" s="186"/>
      <c r="R50" s="64"/>
      <c r="S50" s="66"/>
      <c r="T50" s="59"/>
      <c r="U50" s="171"/>
      <c r="V50" s="62"/>
      <c r="W50" s="186"/>
      <c r="X50" s="64"/>
      <c r="Y50" s="66"/>
      <c r="Z50" s="59"/>
      <c r="AA50" s="38"/>
      <c r="AB50" s="38"/>
      <c r="AC50" s="38"/>
    </row>
    <row r="51" spans="1:29" s="39" customFormat="1" ht="13.8" x14ac:dyDescent="0.25">
      <c r="A51" s="89"/>
      <c r="B51" s="89"/>
      <c r="C51" s="188"/>
      <c r="D51" s="189"/>
      <c r="E51" s="188"/>
      <c r="F51" s="190"/>
      <c r="G51" s="106">
        <v>1</v>
      </c>
      <c r="H51" s="68" t="s">
        <v>324</v>
      </c>
      <c r="I51" s="168"/>
      <c r="J51" s="63"/>
      <c r="K51" s="191"/>
      <c r="L51" s="65"/>
      <c r="M51" s="67"/>
      <c r="N51" s="58"/>
      <c r="O51" s="168"/>
      <c r="P51" s="63"/>
      <c r="Q51" s="191"/>
      <c r="R51" s="65"/>
      <c r="S51" s="67"/>
      <c r="T51" s="58"/>
      <c r="U51" s="171"/>
      <c r="V51" s="63"/>
      <c r="W51" s="191"/>
      <c r="X51" s="65"/>
      <c r="Y51" s="67"/>
      <c r="Z51" s="58"/>
      <c r="AA51" s="38"/>
      <c r="AB51" s="38"/>
      <c r="AC51" s="38"/>
    </row>
    <row r="52" spans="1:29" s="39" customFormat="1" ht="13.8" x14ac:dyDescent="0.25">
      <c r="A52" s="89"/>
      <c r="B52" s="89"/>
      <c r="C52" s="188"/>
      <c r="D52" s="189"/>
      <c r="E52" s="188"/>
      <c r="F52" s="190"/>
      <c r="G52" s="106">
        <v>2</v>
      </c>
      <c r="H52" s="51"/>
      <c r="I52" s="168"/>
      <c r="J52" s="63"/>
      <c r="K52" s="191"/>
      <c r="L52" s="65"/>
      <c r="M52" s="67"/>
      <c r="N52" s="58"/>
      <c r="O52" s="168"/>
      <c r="P52" s="63"/>
      <c r="Q52" s="191"/>
      <c r="R52" s="65"/>
      <c r="S52" s="67"/>
      <c r="T52" s="58"/>
      <c r="U52" s="171"/>
      <c r="V52" s="63"/>
      <c r="W52" s="191"/>
      <c r="X52" s="65"/>
      <c r="Y52" s="67"/>
      <c r="Z52" s="58"/>
    </row>
    <row r="53" spans="1:29" s="39" customFormat="1" ht="13.8" x14ac:dyDescent="0.25">
      <c r="A53" s="89"/>
      <c r="B53" s="89"/>
      <c r="C53" s="188"/>
      <c r="D53" s="189"/>
      <c r="E53" s="188"/>
      <c r="F53" s="190"/>
      <c r="G53" s="106">
        <v>3</v>
      </c>
      <c r="H53" s="51"/>
      <c r="I53" s="168"/>
      <c r="J53" s="63"/>
      <c r="K53" s="191"/>
      <c r="L53" s="65"/>
      <c r="M53" s="67"/>
      <c r="N53" s="58"/>
      <c r="O53" s="168"/>
      <c r="P53" s="63"/>
      <c r="Q53" s="191"/>
      <c r="R53" s="65"/>
      <c r="S53" s="67"/>
      <c r="T53" s="58"/>
      <c r="U53" s="171"/>
      <c r="V53" s="63"/>
      <c r="W53" s="191"/>
      <c r="X53" s="65"/>
      <c r="Y53" s="67"/>
      <c r="Z53" s="58"/>
    </row>
    <row r="54" spans="1:29" s="39" customFormat="1" ht="13.8" x14ac:dyDescent="0.25">
      <c r="A54" s="89"/>
      <c r="B54" s="89"/>
      <c r="C54" s="188"/>
      <c r="D54" s="189"/>
      <c r="E54" s="188"/>
      <c r="F54" s="190"/>
      <c r="G54" s="106">
        <v>4</v>
      </c>
      <c r="H54" s="51"/>
      <c r="I54" s="168"/>
      <c r="J54" s="63"/>
      <c r="K54" s="191"/>
      <c r="L54" s="65"/>
      <c r="M54" s="67"/>
      <c r="N54" s="58"/>
      <c r="O54" s="168"/>
      <c r="P54" s="63"/>
      <c r="Q54" s="191"/>
      <c r="R54" s="65"/>
      <c r="S54" s="67"/>
      <c r="T54" s="58"/>
      <c r="U54" s="171"/>
      <c r="V54" s="63"/>
      <c r="W54" s="191"/>
      <c r="X54" s="65"/>
      <c r="Y54" s="67"/>
      <c r="Z54" s="58"/>
    </row>
    <row r="55" spans="1:29" s="39" customFormat="1" ht="13.8" x14ac:dyDescent="0.25">
      <c r="A55" s="89"/>
      <c r="B55" s="89"/>
      <c r="C55" s="188"/>
      <c r="D55" s="189"/>
      <c r="E55" s="188"/>
      <c r="F55" s="190"/>
      <c r="G55" s="106">
        <v>5</v>
      </c>
      <c r="H55" s="51"/>
      <c r="I55" s="168"/>
      <c r="J55" s="63"/>
      <c r="K55" s="191"/>
      <c r="L55" s="65"/>
      <c r="M55" s="67"/>
      <c r="N55" s="58"/>
      <c r="O55" s="168"/>
      <c r="P55" s="63"/>
      <c r="Q55" s="191"/>
      <c r="R55" s="65"/>
      <c r="S55" s="67"/>
      <c r="T55" s="58"/>
      <c r="U55" s="171"/>
      <c r="V55" s="63"/>
      <c r="W55" s="191"/>
      <c r="X55" s="65"/>
      <c r="Y55" s="67"/>
      <c r="Z55" s="58"/>
    </row>
    <row r="56" spans="1:29" s="39" customFormat="1" ht="13.8" x14ac:dyDescent="0.25">
      <c r="A56" s="89"/>
      <c r="B56" s="89"/>
      <c r="C56" s="188"/>
      <c r="D56" s="189"/>
      <c r="E56" s="188"/>
      <c r="F56" s="190"/>
      <c r="G56" s="106">
        <v>6</v>
      </c>
      <c r="H56" s="51"/>
      <c r="I56" s="168"/>
      <c r="J56" s="63"/>
      <c r="K56" s="191"/>
      <c r="L56" s="65"/>
      <c r="M56" s="67"/>
      <c r="N56" s="58"/>
      <c r="O56" s="168"/>
      <c r="P56" s="63"/>
      <c r="Q56" s="191"/>
      <c r="R56" s="65"/>
      <c r="S56" s="67"/>
      <c r="T56" s="58"/>
      <c r="U56" s="171"/>
      <c r="V56" s="63"/>
      <c r="W56" s="191"/>
      <c r="X56" s="65"/>
      <c r="Y56" s="67"/>
      <c r="Z56" s="58"/>
    </row>
    <row r="57" spans="1:29" s="39" customFormat="1" ht="13.8" x14ac:dyDescent="0.25">
      <c r="A57" s="89"/>
      <c r="B57" s="89"/>
      <c r="C57" s="188"/>
      <c r="D57" s="189"/>
      <c r="E57" s="188"/>
      <c r="F57" s="190"/>
      <c r="G57" s="106">
        <v>7</v>
      </c>
      <c r="H57" s="51"/>
      <c r="I57" s="168"/>
      <c r="J57" s="63"/>
      <c r="K57" s="191"/>
      <c r="L57" s="65"/>
      <c r="M57" s="67"/>
      <c r="N57" s="58"/>
      <c r="O57" s="168"/>
      <c r="P57" s="63"/>
      <c r="Q57" s="191"/>
      <c r="R57" s="65"/>
      <c r="S57" s="67"/>
      <c r="T57" s="58"/>
      <c r="U57" s="171"/>
      <c r="V57" s="63"/>
      <c r="W57" s="191"/>
      <c r="X57" s="65"/>
      <c r="Y57" s="67"/>
      <c r="Z57" s="58"/>
    </row>
    <row r="58" spans="1:29" s="39" customFormat="1" ht="13.8" x14ac:dyDescent="0.25">
      <c r="A58" s="89"/>
      <c r="B58" s="89"/>
      <c r="C58" s="188"/>
      <c r="D58" s="189"/>
      <c r="E58" s="188"/>
      <c r="F58" s="190"/>
      <c r="G58" s="106">
        <v>8</v>
      </c>
      <c r="H58" s="51"/>
      <c r="I58" s="168"/>
      <c r="J58" s="63"/>
      <c r="K58" s="191"/>
      <c r="L58" s="65"/>
      <c r="M58" s="67"/>
      <c r="N58" s="58"/>
      <c r="O58" s="168"/>
      <c r="P58" s="63"/>
      <c r="Q58" s="191"/>
      <c r="R58" s="65"/>
      <c r="S58" s="67"/>
      <c r="T58" s="58"/>
      <c r="U58" s="171"/>
      <c r="V58" s="63"/>
      <c r="W58" s="191"/>
      <c r="X58" s="65"/>
      <c r="Y58" s="67"/>
      <c r="Z58" s="58"/>
    </row>
    <row r="59" spans="1:29" s="39" customFormat="1" ht="13.8" x14ac:dyDescent="0.25">
      <c r="A59" s="89"/>
      <c r="B59" s="89"/>
      <c r="C59" s="188"/>
      <c r="D59" s="189"/>
      <c r="E59" s="188"/>
      <c r="F59" s="190"/>
      <c r="G59" s="106">
        <v>9</v>
      </c>
      <c r="H59" s="51"/>
      <c r="I59" s="168"/>
      <c r="J59" s="63"/>
      <c r="K59" s="191"/>
      <c r="L59" s="65"/>
      <c r="M59" s="67"/>
      <c r="N59" s="58"/>
      <c r="O59" s="168"/>
      <c r="P59" s="63"/>
      <c r="Q59" s="191"/>
      <c r="R59" s="65"/>
      <c r="S59" s="67"/>
      <c r="T59" s="58"/>
      <c r="U59" s="171"/>
      <c r="V59" s="63"/>
      <c r="W59" s="191"/>
      <c r="X59" s="65"/>
      <c r="Y59" s="67"/>
      <c r="Z59" s="58"/>
    </row>
    <row r="60" spans="1:29" s="39" customFormat="1" ht="13.8" x14ac:dyDescent="0.25">
      <c r="A60" s="89"/>
      <c r="B60" s="89"/>
      <c r="C60" s="188"/>
      <c r="D60" s="189"/>
      <c r="E60" s="188"/>
      <c r="F60" s="190"/>
      <c r="G60" s="106">
        <v>10</v>
      </c>
      <c r="H60" s="51"/>
      <c r="I60" s="168"/>
      <c r="J60" s="63"/>
      <c r="K60" s="191"/>
      <c r="L60" s="65"/>
      <c r="M60" s="67"/>
      <c r="N60" s="58"/>
      <c r="O60" s="168"/>
      <c r="P60" s="63"/>
      <c r="Q60" s="191"/>
      <c r="R60" s="65"/>
      <c r="S60" s="67"/>
      <c r="T60" s="58"/>
      <c r="U60" s="171"/>
      <c r="V60" s="63"/>
      <c r="W60" s="191"/>
      <c r="X60" s="65"/>
      <c r="Y60" s="67"/>
      <c r="Z60" s="58"/>
    </row>
    <row r="61" spans="1:29" s="39" customFormat="1" ht="13.8" x14ac:dyDescent="0.25">
      <c r="A61" s="89"/>
      <c r="B61" s="89"/>
      <c r="C61" s="188"/>
      <c r="D61" s="189"/>
      <c r="E61" s="188"/>
      <c r="F61" s="190"/>
      <c r="G61" s="106"/>
      <c r="H61" s="51"/>
      <c r="I61" s="168"/>
      <c r="J61" s="63"/>
      <c r="K61" s="191"/>
      <c r="L61" s="65"/>
      <c r="M61" s="67"/>
      <c r="N61" s="58"/>
      <c r="O61" s="168"/>
      <c r="P61" s="63"/>
      <c r="Q61" s="191"/>
      <c r="R61" s="65"/>
      <c r="S61" s="67"/>
      <c r="T61" s="58"/>
      <c r="U61" s="171"/>
      <c r="V61" s="63"/>
      <c r="W61" s="191"/>
      <c r="X61" s="65"/>
      <c r="Y61" s="67"/>
      <c r="Z61" s="58"/>
    </row>
    <row r="62" spans="1:29" s="39" customFormat="1" ht="13.8" x14ac:dyDescent="0.25">
      <c r="A62" s="126"/>
      <c r="B62" s="126"/>
      <c r="C62" s="181"/>
      <c r="D62" s="182"/>
      <c r="E62" s="181"/>
      <c r="F62" s="183"/>
      <c r="G62" s="184" t="s">
        <v>58</v>
      </c>
      <c r="H62" s="185" t="s">
        <v>373</v>
      </c>
      <c r="I62" s="168"/>
      <c r="J62" s="62"/>
      <c r="K62" s="186"/>
      <c r="L62" s="64"/>
      <c r="M62" s="66"/>
      <c r="N62" s="59"/>
      <c r="O62" s="168"/>
      <c r="P62" s="62"/>
      <c r="Q62" s="186"/>
      <c r="R62" s="64"/>
      <c r="S62" s="66"/>
      <c r="T62" s="59"/>
      <c r="U62" s="171"/>
      <c r="V62" s="62"/>
      <c r="W62" s="186"/>
      <c r="X62" s="64"/>
      <c r="Y62" s="66"/>
      <c r="Z62" s="59"/>
    </row>
    <row r="63" spans="1:29" s="39" customFormat="1" ht="13.8" x14ac:dyDescent="0.25">
      <c r="A63" s="89"/>
      <c r="B63" s="89"/>
      <c r="C63" s="188"/>
      <c r="D63" s="189"/>
      <c r="E63" s="188"/>
      <c r="F63" s="190"/>
      <c r="G63" s="106">
        <v>1</v>
      </c>
      <c r="H63" s="51"/>
      <c r="I63" s="168"/>
      <c r="J63" s="63"/>
      <c r="K63" s="191"/>
      <c r="L63" s="65"/>
      <c r="M63" s="67"/>
      <c r="N63" s="58"/>
      <c r="O63" s="168"/>
      <c r="P63" s="63"/>
      <c r="Q63" s="191"/>
      <c r="R63" s="65"/>
      <c r="S63" s="67"/>
      <c r="T63" s="58"/>
      <c r="U63" s="171"/>
      <c r="V63" s="63"/>
      <c r="W63" s="191"/>
      <c r="X63" s="65"/>
      <c r="Y63" s="67"/>
      <c r="Z63" s="58"/>
    </row>
    <row r="64" spans="1:29" s="39" customFormat="1" ht="13.8" x14ac:dyDescent="0.25">
      <c r="A64" s="89"/>
      <c r="B64" s="89"/>
      <c r="C64" s="188"/>
      <c r="D64" s="189"/>
      <c r="E64" s="188"/>
      <c r="F64" s="190"/>
      <c r="G64" s="106">
        <v>2</v>
      </c>
      <c r="H64" s="51"/>
      <c r="I64" s="168"/>
      <c r="J64" s="63"/>
      <c r="K64" s="191"/>
      <c r="L64" s="65"/>
      <c r="M64" s="67"/>
      <c r="N64" s="58"/>
      <c r="O64" s="168"/>
      <c r="P64" s="63"/>
      <c r="Q64" s="191"/>
      <c r="R64" s="65"/>
      <c r="S64" s="67"/>
      <c r="T64" s="58"/>
      <c r="U64" s="171"/>
      <c r="V64" s="63"/>
      <c r="W64" s="191"/>
      <c r="X64" s="65"/>
      <c r="Y64" s="67"/>
      <c r="Z64" s="58"/>
    </row>
    <row r="65" spans="1:29" s="39" customFormat="1" ht="13.8" x14ac:dyDescent="0.25">
      <c r="A65" s="89"/>
      <c r="B65" s="89"/>
      <c r="C65" s="188"/>
      <c r="D65" s="189"/>
      <c r="E65" s="188"/>
      <c r="F65" s="190"/>
      <c r="G65" s="106">
        <v>3</v>
      </c>
      <c r="H65" s="51"/>
      <c r="I65" s="168"/>
      <c r="J65" s="63"/>
      <c r="K65" s="191"/>
      <c r="L65" s="65"/>
      <c r="M65" s="67"/>
      <c r="N65" s="58"/>
      <c r="O65" s="168"/>
      <c r="P65" s="63"/>
      <c r="Q65" s="191"/>
      <c r="R65" s="65"/>
      <c r="S65" s="67"/>
      <c r="T65" s="58"/>
      <c r="U65" s="171"/>
      <c r="V65" s="63"/>
      <c r="W65" s="191"/>
      <c r="X65" s="65"/>
      <c r="Y65" s="67"/>
      <c r="Z65" s="58"/>
    </row>
    <row r="66" spans="1:29" s="39" customFormat="1" ht="13.8" x14ac:dyDescent="0.25">
      <c r="A66" s="89"/>
      <c r="B66" s="89"/>
      <c r="C66" s="188"/>
      <c r="D66" s="189"/>
      <c r="E66" s="188"/>
      <c r="F66" s="190"/>
      <c r="G66" s="106">
        <v>4</v>
      </c>
      <c r="H66" s="51"/>
      <c r="I66" s="168"/>
      <c r="J66" s="63"/>
      <c r="K66" s="191"/>
      <c r="L66" s="65"/>
      <c r="M66" s="67"/>
      <c r="N66" s="58"/>
      <c r="O66" s="168"/>
      <c r="P66" s="63"/>
      <c r="Q66" s="191"/>
      <c r="R66" s="65"/>
      <c r="S66" s="67"/>
      <c r="T66" s="58"/>
      <c r="U66" s="171"/>
      <c r="V66" s="63"/>
      <c r="W66" s="191"/>
      <c r="X66" s="65"/>
      <c r="Y66" s="67"/>
      <c r="Z66" s="58"/>
    </row>
    <row r="67" spans="1:29" s="39" customFormat="1" ht="13.8" x14ac:dyDescent="0.25">
      <c r="A67" s="89"/>
      <c r="B67" s="89"/>
      <c r="C67" s="188"/>
      <c r="D67" s="189"/>
      <c r="E67" s="188"/>
      <c r="F67" s="190"/>
      <c r="G67" s="106">
        <v>5</v>
      </c>
      <c r="H67" s="51"/>
      <c r="I67" s="168"/>
      <c r="J67" s="63"/>
      <c r="K67" s="191"/>
      <c r="L67" s="65"/>
      <c r="M67" s="67"/>
      <c r="N67" s="58"/>
      <c r="O67" s="168"/>
      <c r="P67" s="63"/>
      <c r="Q67" s="191"/>
      <c r="R67" s="65"/>
      <c r="S67" s="67"/>
      <c r="T67" s="58"/>
      <c r="U67" s="171"/>
      <c r="V67" s="63"/>
      <c r="W67" s="191"/>
      <c r="X67" s="65"/>
      <c r="Y67" s="67"/>
      <c r="Z67" s="58"/>
    </row>
    <row r="68" spans="1:29" s="39" customFormat="1" ht="13.8" x14ac:dyDescent="0.25">
      <c r="A68" s="89"/>
      <c r="B68" s="89"/>
      <c r="C68" s="188"/>
      <c r="D68" s="189"/>
      <c r="E68" s="188"/>
      <c r="F68" s="190"/>
      <c r="G68" s="106"/>
      <c r="H68" s="51"/>
      <c r="I68" s="168"/>
      <c r="J68" s="63"/>
      <c r="K68" s="191"/>
      <c r="L68" s="65"/>
      <c r="M68" s="67"/>
      <c r="N68" s="58"/>
      <c r="O68" s="168"/>
      <c r="P68" s="63"/>
      <c r="Q68" s="191"/>
      <c r="R68" s="65"/>
      <c r="S68" s="67"/>
      <c r="T68" s="58"/>
      <c r="U68" s="171"/>
      <c r="V68" s="63"/>
      <c r="W68" s="191"/>
      <c r="X68" s="65"/>
      <c r="Y68" s="67"/>
      <c r="Z68" s="58"/>
    </row>
    <row r="69" spans="1:29" s="39" customFormat="1" ht="13.8" outlineLevel="1" x14ac:dyDescent="0.25">
      <c r="A69" s="126"/>
      <c r="B69" s="126"/>
      <c r="C69" s="181"/>
      <c r="D69" s="182"/>
      <c r="E69" s="181"/>
      <c r="F69" s="183"/>
      <c r="G69" s="184" t="s">
        <v>61</v>
      </c>
      <c r="H69" s="185" t="s">
        <v>405</v>
      </c>
      <c r="I69" s="168"/>
      <c r="J69" s="62"/>
      <c r="K69" s="186"/>
      <c r="L69" s="64"/>
      <c r="M69" s="66"/>
      <c r="N69" s="59"/>
      <c r="O69" s="168"/>
      <c r="P69" s="62"/>
      <c r="Q69" s="186"/>
      <c r="R69" s="64"/>
      <c r="S69" s="66"/>
      <c r="T69" s="59"/>
      <c r="U69" s="171"/>
      <c r="V69" s="62"/>
      <c r="W69" s="186"/>
      <c r="X69" s="64"/>
      <c r="Y69" s="66"/>
      <c r="Z69" s="59"/>
      <c r="AA69" s="38"/>
      <c r="AB69" s="38"/>
      <c r="AC69" s="38"/>
    </row>
    <row r="70" spans="1:29" s="39" customFormat="1" ht="13.8" outlineLevel="1" x14ac:dyDescent="0.25">
      <c r="A70" s="89"/>
      <c r="B70" s="89"/>
      <c r="C70" s="188"/>
      <c r="D70" s="189"/>
      <c r="E70" s="188"/>
      <c r="F70" s="190"/>
      <c r="G70" s="106">
        <v>1</v>
      </c>
      <c r="H70" s="197" t="s">
        <v>409</v>
      </c>
      <c r="I70" s="168"/>
      <c r="J70" s="63"/>
      <c r="K70" s="191"/>
      <c r="L70" s="65"/>
      <c r="M70" s="67"/>
      <c r="N70" s="58"/>
      <c r="O70" s="168"/>
      <c r="P70" s="63"/>
      <c r="Q70" s="191"/>
      <c r="R70" s="65"/>
      <c r="S70" s="67"/>
      <c r="T70" s="58"/>
      <c r="U70" s="171"/>
      <c r="V70" s="63"/>
      <c r="W70" s="191"/>
      <c r="X70" s="65"/>
      <c r="Y70" s="67"/>
      <c r="Z70" s="58"/>
      <c r="AA70" s="38"/>
      <c r="AB70" s="38"/>
      <c r="AC70" s="38"/>
    </row>
    <row r="71" spans="1:29" s="39" customFormat="1" ht="13.8" outlineLevel="1" x14ac:dyDescent="0.25">
      <c r="A71" s="89"/>
      <c r="B71" s="89"/>
      <c r="C71" s="188"/>
      <c r="D71" s="189"/>
      <c r="E71" s="188"/>
      <c r="F71" s="190"/>
      <c r="G71" s="106">
        <v>2</v>
      </c>
      <c r="H71" s="51" t="s">
        <v>410</v>
      </c>
      <c r="I71" s="168"/>
      <c r="J71" s="63"/>
      <c r="K71" s="191"/>
      <c r="L71" s="65"/>
      <c r="M71" s="67"/>
      <c r="N71" s="58"/>
      <c r="O71" s="168"/>
      <c r="P71" s="63"/>
      <c r="Q71" s="191"/>
      <c r="R71" s="65"/>
      <c r="S71" s="67"/>
      <c r="T71" s="58"/>
      <c r="U71" s="171"/>
      <c r="V71" s="63"/>
      <c r="W71" s="191"/>
      <c r="X71" s="65"/>
      <c r="Y71" s="67"/>
      <c r="Z71" s="58"/>
    </row>
    <row r="72" spans="1:29" s="39" customFormat="1" ht="13.8" outlineLevel="1" x14ac:dyDescent="0.25">
      <c r="A72" s="89"/>
      <c r="B72" s="89"/>
      <c r="C72" s="188"/>
      <c r="D72" s="189"/>
      <c r="E72" s="188"/>
      <c r="F72" s="190"/>
      <c r="G72" s="106">
        <v>3</v>
      </c>
      <c r="H72" s="51" t="s">
        <v>411</v>
      </c>
      <c r="I72" s="168"/>
      <c r="J72" s="63"/>
      <c r="K72" s="191"/>
      <c r="L72" s="65"/>
      <c r="M72" s="67"/>
      <c r="N72" s="58"/>
      <c r="O72" s="168"/>
      <c r="P72" s="63"/>
      <c r="Q72" s="191"/>
      <c r="R72" s="65"/>
      <c r="S72" s="67"/>
      <c r="T72" s="58"/>
      <c r="U72" s="171"/>
      <c r="V72" s="63"/>
      <c r="W72" s="191"/>
      <c r="X72" s="65"/>
      <c r="Y72" s="67"/>
      <c r="Z72" s="58"/>
    </row>
    <row r="73" spans="1:29" s="39" customFormat="1" ht="13.8" outlineLevel="1" x14ac:dyDescent="0.25">
      <c r="A73" s="89"/>
      <c r="B73" s="89"/>
      <c r="C73" s="188"/>
      <c r="D73" s="189"/>
      <c r="E73" s="188"/>
      <c r="F73" s="190"/>
      <c r="G73" s="106">
        <v>4</v>
      </c>
      <c r="H73" s="51" t="s">
        <v>406</v>
      </c>
      <c r="I73" s="168"/>
      <c r="J73" s="63"/>
      <c r="K73" s="191"/>
      <c r="L73" s="65"/>
      <c r="M73" s="67"/>
      <c r="N73" s="58"/>
      <c r="O73" s="168"/>
      <c r="P73" s="63"/>
      <c r="Q73" s="191"/>
      <c r="R73" s="65"/>
      <c r="S73" s="67"/>
      <c r="T73" s="58"/>
      <c r="U73" s="171"/>
      <c r="V73" s="63"/>
      <c r="W73" s="191"/>
      <c r="X73" s="65"/>
      <c r="Y73" s="67"/>
      <c r="Z73" s="58"/>
    </row>
    <row r="74" spans="1:29" s="39" customFormat="1" ht="13.8" outlineLevel="1" x14ac:dyDescent="0.25">
      <c r="A74" s="89"/>
      <c r="B74" s="89"/>
      <c r="C74" s="188"/>
      <c r="D74" s="189"/>
      <c r="E74" s="188"/>
      <c r="F74" s="190"/>
      <c r="G74" s="106">
        <v>5</v>
      </c>
      <c r="H74" s="51" t="s">
        <v>408</v>
      </c>
      <c r="I74" s="168"/>
      <c r="J74" s="63"/>
      <c r="K74" s="191"/>
      <c r="L74" s="65"/>
      <c r="M74" s="67"/>
      <c r="N74" s="58"/>
      <c r="O74" s="168"/>
      <c r="P74" s="63"/>
      <c r="Q74" s="191"/>
      <c r="R74" s="65"/>
      <c r="S74" s="67"/>
      <c r="T74" s="58"/>
      <c r="U74" s="171"/>
      <c r="V74" s="63"/>
      <c r="W74" s="191"/>
      <c r="X74" s="65"/>
      <c r="Y74" s="67"/>
      <c r="Z74" s="58"/>
    </row>
    <row r="75" spans="1:29" s="39" customFormat="1" ht="13.8" outlineLevel="1" x14ac:dyDescent="0.25">
      <c r="A75" s="89"/>
      <c r="B75" s="89"/>
      <c r="C75" s="188"/>
      <c r="D75" s="189"/>
      <c r="E75" s="188"/>
      <c r="F75" s="190"/>
      <c r="G75" s="106">
        <v>6</v>
      </c>
      <c r="H75" s="51" t="s">
        <v>417</v>
      </c>
      <c r="I75" s="168"/>
      <c r="J75" s="63"/>
      <c r="K75" s="191"/>
      <c r="L75" s="65"/>
      <c r="M75" s="67"/>
      <c r="N75" s="58"/>
      <c r="O75" s="168"/>
      <c r="P75" s="63"/>
      <c r="Q75" s="191"/>
      <c r="R75" s="65"/>
      <c r="S75" s="67"/>
      <c r="T75" s="58"/>
      <c r="U75" s="171"/>
      <c r="V75" s="63"/>
      <c r="W75" s="191"/>
      <c r="X75" s="65"/>
      <c r="Y75" s="67"/>
      <c r="Z75" s="58"/>
    </row>
    <row r="76" spans="1:29" s="39" customFormat="1" ht="13.8" outlineLevel="1" x14ac:dyDescent="0.25">
      <c r="A76" s="89"/>
      <c r="B76" s="89"/>
      <c r="C76" s="188"/>
      <c r="D76" s="189"/>
      <c r="E76" s="188"/>
      <c r="F76" s="190"/>
      <c r="G76" s="106">
        <v>7</v>
      </c>
      <c r="H76" s="51" t="s">
        <v>407</v>
      </c>
      <c r="I76" s="168"/>
      <c r="J76" s="63"/>
      <c r="K76" s="191"/>
      <c r="L76" s="65"/>
      <c r="M76" s="67"/>
      <c r="N76" s="58"/>
      <c r="O76" s="168"/>
      <c r="P76" s="63"/>
      <c r="Q76" s="191"/>
      <c r="R76" s="65"/>
      <c r="S76" s="67"/>
      <c r="T76" s="58"/>
      <c r="U76" s="171"/>
      <c r="V76" s="63"/>
      <c r="W76" s="191"/>
      <c r="X76" s="65"/>
      <c r="Y76" s="67"/>
      <c r="Z76" s="58"/>
    </row>
    <row r="77" spans="1:29" s="39" customFormat="1" ht="21" outlineLevel="1" x14ac:dyDescent="0.25">
      <c r="A77" s="89"/>
      <c r="B77" s="89"/>
      <c r="C77" s="188"/>
      <c r="D77" s="189"/>
      <c r="E77" s="188"/>
      <c r="F77" s="190"/>
      <c r="G77" s="106">
        <v>8</v>
      </c>
      <c r="H77" s="51" t="s">
        <v>412</v>
      </c>
      <c r="I77" s="168"/>
      <c r="J77" s="63"/>
      <c r="K77" s="191"/>
      <c r="L77" s="65"/>
      <c r="M77" s="67"/>
      <c r="N77" s="58"/>
      <c r="O77" s="168"/>
      <c r="P77" s="63"/>
      <c r="Q77" s="191"/>
      <c r="R77" s="65"/>
      <c r="S77" s="67"/>
      <c r="T77" s="58"/>
      <c r="U77" s="171"/>
      <c r="V77" s="63"/>
      <c r="W77" s="191"/>
      <c r="X77" s="65"/>
      <c r="Y77" s="67"/>
      <c r="Z77" s="58"/>
    </row>
    <row r="78" spans="1:29" s="39" customFormat="1" ht="13.8" outlineLevel="1" x14ac:dyDescent="0.25">
      <c r="A78" s="126"/>
      <c r="B78" s="126"/>
      <c r="C78" s="181"/>
      <c r="D78" s="182"/>
      <c r="E78" s="181"/>
      <c r="F78" s="183"/>
      <c r="G78" s="184" t="s">
        <v>87</v>
      </c>
      <c r="H78" s="185" t="s">
        <v>85</v>
      </c>
      <c r="I78" s="168"/>
      <c r="J78" s="62"/>
      <c r="K78" s="186"/>
      <c r="L78" s="64"/>
      <c r="M78" s="66"/>
      <c r="N78" s="59"/>
      <c r="O78" s="168"/>
      <c r="P78" s="62"/>
      <c r="Q78" s="186"/>
      <c r="R78" s="64"/>
      <c r="S78" s="66"/>
      <c r="T78" s="59"/>
      <c r="U78" s="171"/>
      <c r="V78" s="62"/>
      <c r="W78" s="186"/>
      <c r="X78" s="64"/>
      <c r="Y78" s="66"/>
      <c r="Z78" s="59"/>
      <c r="AA78" s="38"/>
      <c r="AB78" s="38"/>
      <c r="AC78" s="38"/>
    </row>
    <row r="79" spans="1:29" s="39" customFormat="1" ht="13.8" outlineLevel="1" x14ac:dyDescent="0.25">
      <c r="A79" s="89"/>
      <c r="B79" s="89"/>
      <c r="C79" s="188"/>
      <c r="D79" s="189"/>
      <c r="E79" s="188"/>
      <c r="F79" s="190"/>
      <c r="G79" s="106">
        <v>1</v>
      </c>
      <c r="H79" s="51" t="s">
        <v>297</v>
      </c>
      <c r="I79" s="168"/>
      <c r="J79" s="63"/>
      <c r="K79" s="191"/>
      <c r="L79" s="65"/>
      <c r="M79" s="67"/>
      <c r="N79" s="58"/>
      <c r="O79" s="168"/>
      <c r="P79" s="63"/>
      <c r="Q79" s="191"/>
      <c r="R79" s="65"/>
      <c r="S79" s="67"/>
      <c r="T79" s="58"/>
      <c r="U79" s="171"/>
      <c r="V79" s="63"/>
      <c r="W79" s="191"/>
      <c r="X79" s="65"/>
      <c r="Y79" s="67"/>
      <c r="Z79" s="58"/>
      <c r="AA79" s="38"/>
      <c r="AB79" s="38"/>
      <c r="AC79" s="38"/>
    </row>
    <row r="80" spans="1:29" s="39" customFormat="1" ht="13.8" outlineLevel="1" x14ac:dyDescent="0.25">
      <c r="A80" s="89"/>
      <c r="B80" s="89"/>
      <c r="C80" s="188"/>
      <c r="D80" s="189"/>
      <c r="E80" s="188"/>
      <c r="F80" s="190"/>
      <c r="G80" s="106">
        <v>2</v>
      </c>
      <c r="H80" s="51" t="s">
        <v>331</v>
      </c>
      <c r="I80" s="168"/>
      <c r="J80" s="63"/>
      <c r="K80" s="191"/>
      <c r="L80" s="65"/>
      <c r="M80" s="67"/>
      <c r="N80" s="58"/>
      <c r="O80" s="168"/>
      <c r="P80" s="63"/>
      <c r="Q80" s="191"/>
      <c r="R80" s="65"/>
      <c r="S80" s="67"/>
      <c r="T80" s="58"/>
      <c r="U80" s="171"/>
      <c r="V80" s="63"/>
      <c r="W80" s="191"/>
      <c r="X80" s="65"/>
      <c r="Y80" s="67"/>
      <c r="Z80" s="58"/>
    </row>
    <row r="81" spans="1:26" s="39" customFormat="1" ht="13.8" outlineLevel="1" x14ac:dyDescent="0.25">
      <c r="A81" s="89"/>
      <c r="B81" s="89"/>
      <c r="C81" s="188"/>
      <c r="D81" s="189"/>
      <c r="E81" s="188"/>
      <c r="F81" s="190"/>
      <c r="G81" s="106">
        <v>3</v>
      </c>
      <c r="H81" s="51" t="s">
        <v>332</v>
      </c>
      <c r="I81" s="168"/>
      <c r="J81" s="63"/>
      <c r="K81" s="191"/>
      <c r="L81" s="65"/>
      <c r="M81" s="67"/>
      <c r="N81" s="58"/>
      <c r="O81" s="168"/>
      <c r="P81" s="63"/>
      <c r="Q81" s="191"/>
      <c r="R81" s="65"/>
      <c r="S81" s="67"/>
      <c r="T81" s="58"/>
      <c r="U81" s="171"/>
      <c r="V81" s="63"/>
      <c r="W81" s="191"/>
      <c r="X81" s="65"/>
      <c r="Y81" s="67"/>
      <c r="Z81" s="58"/>
    </row>
    <row r="82" spans="1:26" s="39" customFormat="1" ht="12" customHeight="1" outlineLevel="1" x14ac:dyDescent="0.25">
      <c r="A82" s="89"/>
      <c r="B82" s="89"/>
      <c r="C82" s="188"/>
      <c r="D82" s="189"/>
      <c r="E82" s="188"/>
      <c r="F82" s="190"/>
      <c r="G82" s="106">
        <v>4</v>
      </c>
      <c r="H82" s="51" t="s">
        <v>416</v>
      </c>
      <c r="I82" s="168"/>
      <c r="J82" s="63"/>
      <c r="K82" s="191"/>
      <c r="L82" s="65"/>
      <c r="M82" s="67"/>
      <c r="N82" s="58"/>
      <c r="O82" s="168"/>
      <c r="P82" s="63"/>
      <c r="Q82" s="191"/>
      <c r="R82" s="65"/>
      <c r="S82" s="67"/>
      <c r="T82" s="58"/>
      <c r="U82" s="171"/>
      <c r="V82" s="63"/>
      <c r="W82" s="191"/>
      <c r="X82" s="65"/>
      <c r="Y82" s="67"/>
      <c r="Z82" s="58"/>
    </row>
    <row r="83" spans="1:26" s="39" customFormat="1" ht="13.8" outlineLevel="1" x14ac:dyDescent="0.25">
      <c r="A83" s="89"/>
      <c r="B83" s="89"/>
      <c r="C83" s="188"/>
      <c r="D83" s="189"/>
      <c r="E83" s="188"/>
      <c r="F83" s="190"/>
      <c r="G83" s="106">
        <v>5</v>
      </c>
      <c r="H83" s="51" t="s">
        <v>62</v>
      </c>
      <c r="I83" s="168"/>
      <c r="J83" s="63"/>
      <c r="K83" s="191"/>
      <c r="L83" s="65"/>
      <c r="M83" s="67"/>
      <c r="N83" s="58"/>
      <c r="O83" s="168"/>
      <c r="P83" s="63"/>
      <c r="Q83" s="191"/>
      <c r="R83" s="65"/>
      <c r="S83" s="67"/>
      <c r="T83" s="58"/>
      <c r="U83" s="171"/>
      <c r="V83" s="63"/>
      <c r="W83" s="191"/>
      <c r="X83" s="65"/>
      <c r="Y83" s="67"/>
      <c r="Z83" s="58"/>
    </row>
    <row r="84" spans="1:26" s="39" customFormat="1" ht="13.8" outlineLevel="1" x14ac:dyDescent="0.25">
      <c r="A84" s="89"/>
      <c r="B84" s="89"/>
      <c r="C84" s="188"/>
      <c r="D84" s="189"/>
      <c r="E84" s="188"/>
      <c r="F84" s="190"/>
      <c r="G84" s="106">
        <v>6</v>
      </c>
      <c r="H84" s="51" t="s">
        <v>63</v>
      </c>
      <c r="I84" s="168"/>
      <c r="J84" s="63"/>
      <c r="K84" s="191"/>
      <c r="L84" s="65"/>
      <c r="M84" s="67"/>
      <c r="N84" s="58"/>
      <c r="O84" s="168"/>
      <c r="P84" s="63"/>
      <c r="Q84" s="191"/>
      <c r="R84" s="65"/>
      <c r="S84" s="67"/>
      <c r="T84" s="58"/>
      <c r="U84" s="171"/>
      <c r="V84" s="63"/>
      <c r="W84" s="191"/>
      <c r="X84" s="65"/>
      <c r="Y84" s="67"/>
      <c r="Z84" s="58"/>
    </row>
    <row r="85" spans="1:26" s="39" customFormat="1" ht="13.8" outlineLevel="1" x14ac:dyDescent="0.25">
      <c r="A85" s="89"/>
      <c r="B85" s="89"/>
      <c r="C85" s="188"/>
      <c r="D85" s="189"/>
      <c r="E85" s="188"/>
      <c r="F85" s="190"/>
      <c r="G85" s="106">
        <v>7</v>
      </c>
      <c r="H85" s="51" t="s">
        <v>64</v>
      </c>
      <c r="I85" s="168"/>
      <c r="J85" s="63"/>
      <c r="K85" s="191"/>
      <c r="L85" s="65"/>
      <c r="M85" s="67"/>
      <c r="N85" s="58"/>
      <c r="O85" s="168"/>
      <c r="P85" s="63"/>
      <c r="Q85" s="191"/>
      <c r="R85" s="65"/>
      <c r="S85" s="67"/>
      <c r="T85" s="58"/>
      <c r="U85" s="171"/>
      <c r="V85" s="63"/>
      <c r="W85" s="191"/>
      <c r="X85" s="65"/>
      <c r="Y85" s="67"/>
      <c r="Z85" s="58"/>
    </row>
    <row r="86" spans="1:26" s="39" customFormat="1" ht="13.8" outlineLevel="1" x14ac:dyDescent="0.25">
      <c r="A86" s="89"/>
      <c r="B86" s="89"/>
      <c r="C86" s="188"/>
      <c r="D86" s="189"/>
      <c r="E86" s="188"/>
      <c r="F86" s="190"/>
      <c r="G86" s="106">
        <v>8</v>
      </c>
      <c r="H86" s="51" t="s">
        <v>65</v>
      </c>
      <c r="I86" s="168"/>
      <c r="J86" s="63"/>
      <c r="K86" s="191"/>
      <c r="L86" s="65"/>
      <c r="M86" s="67"/>
      <c r="N86" s="58"/>
      <c r="O86" s="168"/>
      <c r="P86" s="63"/>
      <c r="Q86" s="191"/>
      <c r="R86" s="65"/>
      <c r="S86" s="67"/>
      <c r="T86" s="58"/>
      <c r="U86" s="171"/>
      <c r="V86" s="63"/>
      <c r="W86" s="191"/>
      <c r="X86" s="65"/>
      <c r="Y86" s="67"/>
      <c r="Z86" s="58"/>
    </row>
    <row r="87" spans="1:26" s="39" customFormat="1" ht="13.8" outlineLevel="1" x14ac:dyDescent="0.25">
      <c r="A87" s="89"/>
      <c r="B87" s="89"/>
      <c r="C87" s="188"/>
      <c r="D87" s="189"/>
      <c r="E87" s="188"/>
      <c r="F87" s="190"/>
      <c r="G87" s="106">
        <v>9</v>
      </c>
      <c r="H87" s="51" t="s">
        <v>66</v>
      </c>
      <c r="I87" s="168"/>
      <c r="J87" s="63"/>
      <c r="K87" s="191"/>
      <c r="L87" s="65"/>
      <c r="M87" s="67"/>
      <c r="N87" s="58"/>
      <c r="O87" s="168"/>
      <c r="P87" s="63"/>
      <c r="Q87" s="191"/>
      <c r="R87" s="65"/>
      <c r="S87" s="67"/>
      <c r="T87" s="58"/>
      <c r="U87" s="171"/>
      <c r="V87" s="63"/>
      <c r="W87" s="191"/>
      <c r="X87" s="65"/>
      <c r="Y87" s="67"/>
      <c r="Z87" s="58"/>
    </row>
    <row r="88" spans="1:26" s="39" customFormat="1" ht="21" outlineLevel="1" x14ac:dyDescent="0.25">
      <c r="A88" s="89"/>
      <c r="B88" s="89"/>
      <c r="C88" s="188"/>
      <c r="D88" s="189"/>
      <c r="E88" s="188"/>
      <c r="F88" s="190"/>
      <c r="G88" s="106">
        <v>10</v>
      </c>
      <c r="H88" s="51" t="s">
        <v>338</v>
      </c>
      <c r="I88" s="168"/>
      <c r="J88" s="63"/>
      <c r="K88" s="191"/>
      <c r="L88" s="65"/>
      <c r="M88" s="67"/>
      <c r="N88" s="58"/>
      <c r="O88" s="168"/>
      <c r="P88" s="63"/>
      <c r="Q88" s="191"/>
      <c r="R88" s="65"/>
      <c r="S88" s="67"/>
      <c r="T88" s="58"/>
      <c r="U88" s="171"/>
      <c r="V88" s="63"/>
      <c r="W88" s="191"/>
      <c r="X88" s="65"/>
      <c r="Y88" s="67"/>
      <c r="Z88" s="58"/>
    </row>
    <row r="89" spans="1:26" s="39" customFormat="1" ht="21" outlineLevel="1" x14ac:dyDescent="0.25">
      <c r="A89" s="89"/>
      <c r="B89" s="89"/>
      <c r="C89" s="188"/>
      <c r="D89" s="189"/>
      <c r="E89" s="188"/>
      <c r="F89" s="190"/>
      <c r="G89" s="106">
        <v>11</v>
      </c>
      <c r="H89" s="51" t="s">
        <v>339</v>
      </c>
      <c r="I89" s="168"/>
      <c r="J89" s="63"/>
      <c r="K89" s="191"/>
      <c r="L89" s="65"/>
      <c r="M89" s="67"/>
      <c r="N89" s="58"/>
      <c r="O89" s="168"/>
      <c r="P89" s="63"/>
      <c r="Q89" s="191"/>
      <c r="R89" s="65"/>
      <c r="S89" s="67"/>
      <c r="T89" s="58"/>
      <c r="U89" s="171"/>
      <c r="V89" s="63"/>
      <c r="W89" s="191"/>
      <c r="X89" s="65"/>
      <c r="Y89" s="67"/>
      <c r="Z89" s="58"/>
    </row>
    <row r="90" spans="1:26" s="39" customFormat="1" ht="13.8" outlineLevel="1" x14ac:dyDescent="0.25">
      <c r="A90" s="89"/>
      <c r="B90" s="89"/>
      <c r="C90" s="188"/>
      <c r="D90" s="189"/>
      <c r="E90" s="188"/>
      <c r="F90" s="190"/>
      <c r="G90" s="106">
        <v>12</v>
      </c>
      <c r="H90" s="51" t="s">
        <v>334</v>
      </c>
      <c r="I90" s="168"/>
      <c r="J90" s="63"/>
      <c r="K90" s="191"/>
      <c r="L90" s="65"/>
      <c r="M90" s="67"/>
      <c r="N90" s="58"/>
      <c r="O90" s="168"/>
      <c r="P90" s="63"/>
      <c r="Q90" s="191"/>
      <c r="R90" s="65"/>
      <c r="S90" s="67"/>
      <c r="T90" s="58"/>
      <c r="U90" s="171"/>
      <c r="V90" s="63"/>
      <c r="W90" s="191"/>
      <c r="X90" s="65"/>
      <c r="Y90" s="67"/>
      <c r="Z90" s="58"/>
    </row>
    <row r="91" spans="1:26" s="39" customFormat="1" ht="13.8" outlineLevel="1" x14ac:dyDescent="0.25">
      <c r="A91" s="89"/>
      <c r="B91" s="89"/>
      <c r="C91" s="188"/>
      <c r="D91" s="189"/>
      <c r="E91" s="188"/>
      <c r="F91" s="190"/>
      <c r="G91" s="106">
        <v>13</v>
      </c>
      <c r="H91" s="51" t="s">
        <v>67</v>
      </c>
      <c r="I91" s="168"/>
      <c r="J91" s="63"/>
      <c r="K91" s="191"/>
      <c r="L91" s="65"/>
      <c r="M91" s="67"/>
      <c r="N91" s="58"/>
      <c r="O91" s="168"/>
      <c r="P91" s="63"/>
      <c r="Q91" s="191"/>
      <c r="R91" s="65"/>
      <c r="S91" s="67"/>
      <c r="T91" s="58"/>
      <c r="U91" s="171"/>
      <c r="V91" s="63"/>
      <c r="W91" s="191"/>
      <c r="X91" s="65"/>
      <c r="Y91" s="67"/>
      <c r="Z91" s="58"/>
    </row>
    <row r="92" spans="1:26" s="39" customFormat="1" ht="21" outlineLevel="1" x14ac:dyDescent="0.25">
      <c r="A92" s="89"/>
      <c r="B92" s="89"/>
      <c r="C92" s="188"/>
      <c r="D92" s="189"/>
      <c r="E92" s="188"/>
      <c r="F92" s="190"/>
      <c r="G92" s="106">
        <v>14</v>
      </c>
      <c r="H92" s="51" t="s">
        <v>68</v>
      </c>
      <c r="I92" s="168"/>
      <c r="J92" s="63"/>
      <c r="K92" s="191"/>
      <c r="L92" s="65"/>
      <c r="M92" s="67"/>
      <c r="N92" s="58"/>
      <c r="O92" s="168"/>
      <c r="P92" s="63"/>
      <c r="Q92" s="191"/>
      <c r="R92" s="65"/>
      <c r="S92" s="67"/>
      <c r="T92" s="58"/>
      <c r="U92" s="171"/>
      <c r="V92" s="63"/>
      <c r="W92" s="191"/>
      <c r="X92" s="65"/>
      <c r="Y92" s="67"/>
      <c r="Z92" s="58"/>
    </row>
    <row r="93" spans="1:26" s="39" customFormat="1" ht="13.8" outlineLevel="1" x14ac:dyDescent="0.25">
      <c r="A93" s="89"/>
      <c r="B93" s="89"/>
      <c r="C93" s="188"/>
      <c r="D93" s="189"/>
      <c r="E93" s="188"/>
      <c r="F93" s="190"/>
      <c r="G93" s="106">
        <v>15</v>
      </c>
      <c r="H93" s="51" t="s">
        <v>69</v>
      </c>
      <c r="I93" s="168"/>
      <c r="J93" s="63"/>
      <c r="K93" s="191"/>
      <c r="L93" s="65"/>
      <c r="M93" s="67"/>
      <c r="N93" s="58"/>
      <c r="O93" s="168"/>
      <c r="P93" s="63"/>
      <c r="Q93" s="191"/>
      <c r="R93" s="65"/>
      <c r="S93" s="67"/>
      <c r="T93" s="58"/>
      <c r="U93" s="171"/>
      <c r="V93" s="63"/>
      <c r="W93" s="191"/>
      <c r="X93" s="65"/>
      <c r="Y93" s="67"/>
      <c r="Z93" s="58"/>
    </row>
    <row r="94" spans="1:26" s="39" customFormat="1" ht="21" outlineLevel="1" x14ac:dyDescent="0.25">
      <c r="A94" s="89"/>
      <c r="B94" s="89"/>
      <c r="C94" s="188"/>
      <c r="D94" s="189"/>
      <c r="E94" s="188"/>
      <c r="F94" s="190"/>
      <c r="G94" s="106">
        <v>16</v>
      </c>
      <c r="H94" s="51" t="s">
        <v>340</v>
      </c>
      <c r="I94" s="168"/>
      <c r="J94" s="63"/>
      <c r="K94" s="191"/>
      <c r="L94" s="65"/>
      <c r="M94" s="67"/>
      <c r="N94" s="58"/>
      <c r="O94" s="168"/>
      <c r="P94" s="63"/>
      <c r="Q94" s="191"/>
      <c r="R94" s="65"/>
      <c r="S94" s="67"/>
      <c r="T94" s="58"/>
      <c r="U94" s="171"/>
      <c r="V94" s="63"/>
      <c r="W94" s="191"/>
      <c r="X94" s="65"/>
      <c r="Y94" s="67"/>
      <c r="Z94" s="58"/>
    </row>
    <row r="95" spans="1:26" s="39" customFormat="1" ht="21" outlineLevel="1" x14ac:dyDescent="0.25">
      <c r="A95" s="89"/>
      <c r="B95" s="89"/>
      <c r="C95" s="188"/>
      <c r="D95" s="189"/>
      <c r="E95" s="188"/>
      <c r="F95" s="190"/>
      <c r="G95" s="106">
        <v>17</v>
      </c>
      <c r="H95" s="51" t="s">
        <v>70</v>
      </c>
      <c r="I95" s="168"/>
      <c r="J95" s="63"/>
      <c r="K95" s="191"/>
      <c r="L95" s="65"/>
      <c r="M95" s="67"/>
      <c r="N95" s="58"/>
      <c r="O95" s="168"/>
      <c r="P95" s="63"/>
      <c r="Q95" s="191"/>
      <c r="R95" s="65"/>
      <c r="S95" s="67"/>
      <c r="T95" s="58"/>
      <c r="U95" s="171"/>
      <c r="V95" s="63"/>
      <c r="W95" s="191"/>
      <c r="X95" s="65"/>
      <c r="Y95" s="67"/>
      <c r="Z95" s="58"/>
    </row>
    <row r="96" spans="1:26" s="39" customFormat="1" ht="13.8" outlineLevel="1" x14ac:dyDescent="0.25">
      <c r="A96" s="89"/>
      <c r="B96" s="89"/>
      <c r="C96" s="188"/>
      <c r="D96" s="189"/>
      <c r="E96" s="188"/>
      <c r="F96" s="190"/>
      <c r="G96" s="106">
        <v>18</v>
      </c>
      <c r="H96" s="51" t="s">
        <v>71</v>
      </c>
      <c r="I96" s="168"/>
      <c r="J96" s="63"/>
      <c r="K96" s="191"/>
      <c r="L96" s="65"/>
      <c r="M96" s="67"/>
      <c r="N96" s="58"/>
      <c r="O96" s="168"/>
      <c r="P96" s="63"/>
      <c r="Q96" s="191"/>
      <c r="R96" s="65"/>
      <c r="S96" s="67"/>
      <c r="T96" s="58"/>
      <c r="U96" s="171"/>
      <c r="V96" s="63"/>
      <c r="W96" s="191"/>
      <c r="X96" s="65"/>
      <c r="Y96" s="67"/>
      <c r="Z96" s="58"/>
    </row>
    <row r="97" spans="1:26" s="39" customFormat="1" ht="13.8" outlineLevel="1" x14ac:dyDescent="0.25">
      <c r="A97" s="89"/>
      <c r="B97" s="89"/>
      <c r="C97" s="188"/>
      <c r="D97" s="189"/>
      <c r="E97" s="188"/>
      <c r="F97" s="190"/>
      <c r="G97" s="106">
        <v>19</v>
      </c>
      <c r="H97" s="51" t="s">
        <v>72</v>
      </c>
      <c r="I97" s="168"/>
      <c r="J97" s="63"/>
      <c r="K97" s="191"/>
      <c r="L97" s="65"/>
      <c r="M97" s="67"/>
      <c r="N97" s="58"/>
      <c r="O97" s="168"/>
      <c r="P97" s="63"/>
      <c r="Q97" s="191"/>
      <c r="R97" s="65"/>
      <c r="S97" s="67"/>
      <c r="T97" s="58"/>
      <c r="U97" s="171"/>
      <c r="V97" s="63"/>
      <c r="W97" s="191"/>
      <c r="X97" s="65"/>
      <c r="Y97" s="67"/>
      <c r="Z97" s="58"/>
    </row>
    <row r="98" spans="1:26" s="39" customFormat="1" ht="31.2" outlineLevel="1" x14ac:dyDescent="0.25">
      <c r="A98" s="89"/>
      <c r="B98" s="89"/>
      <c r="C98" s="188"/>
      <c r="D98" s="189"/>
      <c r="E98" s="188"/>
      <c r="F98" s="190"/>
      <c r="G98" s="106">
        <v>20</v>
      </c>
      <c r="H98" s="51" t="s">
        <v>73</v>
      </c>
      <c r="I98" s="168"/>
      <c r="J98" s="63"/>
      <c r="K98" s="191"/>
      <c r="L98" s="65"/>
      <c r="M98" s="67"/>
      <c r="N98" s="58"/>
      <c r="O98" s="168"/>
      <c r="P98" s="63"/>
      <c r="Q98" s="191"/>
      <c r="R98" s="65"/>
      <c r="S98" s="67"/>
      <c r="T98" s="58"/>
      <c r="U98" s="171"/>
      <c r="V98" s="63"/>
      <c r="W98" s="191"/>
      <c r="X98" s="65"/>
      <c r="Y98" s="67"/>
      <c r="Z98" s="58"/>
    </row>
    <row r="99" spans="1:26" s="39" customFormat="1" ht="21" outlineLevel="1" x14ac:dyDescent="0.25">
      <c r="A99" s="89"/>
      <c r="B99" s="89"/>
      <c r="C99" s="188"/>
      <c r="D99" s="189"/>
      <c r="E99" s="188"/>
      <c r="F99" s="190"/>
      <c r="G99" s="106">
        <v>21</v>
      </c>
      <c r="H99" s="51" t="s">
        <v>341</v>
      </c>
      <c r="I99" s="168"/>
      <c r="J99" s="63"/>
      <c r="K99" s="191"/>
      <c r="L99" s="65"/>
      <c r="M99" s="67"/>
      <c r="N99" s="58"/>
      <c r="O99" s="168"/>
      <c r="P99" s="63"/>
      <c r="Q99" s="191"/>
      <c r="R99" s="65"/>
      <c r="S99" s="67"/>
      <c r="T99" s="58"/>
      <c r="U99" s="171"/>
      <c r="V99" s="63"/>
      <c r="W99" s="191"/>
      <c r="X99" s="65"/>
      <c r="Y99" s="67"/>
      <c r="Z99" s="58"/>
    </row>
    <row r="100" spans="1:26" s="39" customFormat="1" ht="21" outlineLevel="1" x14ac:dyDescent="0.25">
      <c r="A100" s="89"/>
      <c r="B100" s="89"/>
      <c r="C100" s="188"/>
      <c r="D100" s="189"/>
      <c r="E100" s="188"/>
      <c r="F100" s="190"/>
      <c r="G100" s="106">
        <v>22</v>
      </c>
      <c r="H100" s="51" t="s">
        <v>342</v>
      </c>
      <c r="I100" s="168"/>
      <c r="J100" s="63"/>
      <c r="K100" s="191"/>
      <c r="L100" s="65"/>
      <c r="M100" s="67"/>
      <c r="N100" s="58"/>
      <c r="O100" s="168"/>
      <c r="P100" s="63"/>
      <c r="Q100" s="191"/>
      <c r="R100" s="65"/>
      <c r="S100" s="67"/>
      <c r="T100" s="58"/>
      <c r="U100" s="171"/>
      <c r="V100" s="63"/>
      <c r="W100" s="191"/>
      <c r="X100" s="65"/>
      <c r="Y100" s="67"/>
      <c r="Z100" s="58"/>
    </row>
    <row r="101" spans="1:26" s="39" customFormat="1" ht="13.8" outlineLevel="1" x14ac:dyDescent="0.25">
      <c r="A101" s="89"/>
      <c r="B101" s="89"/>
      <c r="C101" s="188"/>
      <c r="D101" s="189"/>
      <c r="E101" s="188"/>
      <c r="F101" s="190"/>
      <c r="G101" s="106">
        <v>23</v>
      </c>
      <c r="H101" s="51" t="s">
        <v>343</v>
      </c>
      <c r="I101" s="168"/>
      <c r="J101" s="63"/>
      <c r="K101" s="191"/>
      <c r="L101" s="65"/>
      <c r="M101" s="67"/>
      <c r="N101" s="58"/>
      <c r="O101" s="168"/>
      <c r="P101" s="63"/>
      <c r="Q101" s="191"/>
      <c r="R101" s="65"/>
      <c r="S101" s="67"/>
      <c r="T101" s="58"/>
      <c r="U101" s="171"/>
      <c r="V101" s="63"/>
      <c r="W101" s="191"/>
      <c r="X101" s="65"/>
      <c r="Y101" s="67"/>
      <c r="Z101" s="58"/>
    </row>
    <row r="102" spans="1:26" s="39" customFormat="1" ht="13.8" outlineLevel="1" x14ac:dyDescent="0.25">
      <c r="A102" s="89"/>
      <c r="B102" s="89"/>
      <c r="C102" s="188"/>
      <c r="D102" s="189"/>
      <c r="E102" s="188"/>
      <c r="F102" s="190"/>
      <c r="G102" s="106">
        <v>24</v>
      </c>
      <c r="H102" s="51" t="s">
        <v>74</v>
      </c>
      <c r="I102" s="168"/>
      <c r="J102" s="63"/>
      <c r="K102" s="191"/>
      <c r="L102" s="65"/>
      <c r="M102" s="67"/>
      <c r="N102" s="58"/>
      <c r="O102" s="168"/>
      <c r="P102" s="63"/>
      <c r="Q102" s="191"/>
      <c r="R102" s="65"/>
      <c r="S102" s="67"/>
      <c r="T102" s="58"/>
      <c r="U102" s="171"/>
      <c r="V102" s="63"/>
      <c r="W102" s="191"/>
      <c r="X102" s="65"/>
      <c r="Y102" s="67"/>
      <c r="Z102" s="58"/>
    </row>
    <row r="103" spans="1:26" s="39" customFormat="1" ht="13.8" outlineLevel="1" x14ac:dyDescent="0.25">
      <c r="A103" s="89"/>
      <c r="B103" s="89"/>
      <c r="C103" s="188"/>
      <c r="D103" s="189"/>
      <c r="E103" s="188"/>
      <c r="F103" s="190"/>
      <c r="G103" s="106">
        <v>25</v>
      </c>
      <c r="H103" s="51" t="s">
        <v>75</v>
      </c>
      <c r="I103" s="168"/>
      <c r="J103" s="63"/>
      <c r="K103" s="191"/>
      <c r="L103" s="65"/>
      <c r="M103" s="67"/>
      <c r="N103" s="58"/>
      <c r="O103" s="168"/>
      <c r="P103" s="63"/>
      <c r="Q103" s="191"/>
      <c r="R103" s="65"/>
      <c r="S103" s="67"/>
      <c r="T103" s="58"/>
      <c r="U103" s="171"/>
      <c r="V103" s="63"/>
      <c r="W103" s="191"/>
      <c r="X103" s="65"/>
      <c r="Y103" s="67"/>
      <c r="Z103" s="58"/>
    </row>
    <row r="104" spans="1:26" s="39" customFormat="1" ht="13.8" outlineLevel="1" x14ac:dyDescent="0.25">
      <c r="A104" s="89"/>
      <c r="B104" s="89"/>
      <c r="C104" s="188"/>
      <c r="D104" s="189"/>
      <c r="E104" s="188"/>
      <c r="F104" s="190"/>
      <c r="G104" s="106">
        <v>26</v>
      </c>
      <c r="H104" s="51" t="s">
        <v>76</v>
      </c>
      <c r="I104" s="168"/>
      <c r="J104" s="63"/>
      <c r="K104" s="191"/>
      <c r="L104" s="65"/>
      <c r="M104" s="67"/>
      <c r="N104" s="58"/>
      <c r="O104" s="168"/>
      <c r="P104" s="63"/>
      <c r="Q104" s="191"/>
      <c r="R104" s="65"/>
      <c r="S104" s="67"/>
      <c r="T104" s="58"/>
      <c r="U104" s="171"/>
      <c r="V104" s="63"/>
      <c r="W104" s="191"/>
      <c r="X104" s="65"/>
      <c r="Y104" s="67"/>
      <c r="Z104" s="58"/>
    </row>
    <row r="105" spans="1:26" s="39" customFormat="1" ht="13.8" outlineLevel="1" x14ac:dyDescent="0.25">
      <c r="A105" s="89"/>
      <c r="B105" s="89"/>
      <c r="C105" s="188"/>
      <c r="D105" s="189"/>
      <c r="E105" s="188"/>
      <c r="F105" s="190"/>
      <c r="G105" s="106">
        <v>27</v>
      </c>
      <c r="H105" s="51" t="s">
        <v>77</v>
      </c>
      <c r="I105" s="168"/>
      <c r="J105" s="63"/>
      <c r="K105" s="191"/>
      <c r="L105" s="65"/>
      <c r="M105" s="67"/>
      <c r="N105" s="58"/>
      <c r="O105" s="168"/>
      <c r="P105" s="63"/>
      <c r="Q105" s="191"/>
      <c r="R105" s="65"/>
      <c r="S105" s="67"/>
      <c r="T105" s="58"/>
      <c r="U105" s="171"/>
      <c r="V105" s="63"/>
      <c r="W105" s="191"/>
      <c r="X105" s="65"/>
      <c r="Y105" s="67"/>
      <c r="Z105" s="58"/>
    </row>
    <row r="106" spans="1:26" s="39" customFormat="1" ht="13.8" outlineLevel="1" x14ac:dyDescent="0.25">
      <c r="A106" s="89"/>
      <c r="B106" s="89"/>
      <c r="C106" s="188"/>
      <c r="D106" s="189"/>
      <c r="E106" s="188"/>
      <c r="F106" s="190"/>
      <c r="G106" s="106">
        <v>28</v>
      </c>
      <c r="H106" s="51" t="s">
        <v>78</v>
      </c>
      <c r="I106" s="168"/>
      <c r="J106" s="63"/>
      <c r="K106" s="191"/>
      <c r="L106" s="65"/>
      <c r="M106" s="67"/>
      <c r="N106" s="58"/>
      <c r="O106" s="168"/>
      <c r="P106" s="63"/>
      <c r="Q106" s="191"/>
      <c r="R106" s="65"/>
      <c r="S106" s="67"/>
      <c r="T106" s="58"/>
      <c r="U106" s="171"/>
      <c r="V106" s="63"/>
      <c r="W106" s="191"/>
      <c r="X106" s="65"/>
      <c r="Y106" s="67"/>
      <c r="Z106" s="58"/>
    </row>
    <row r="107" spans="1:26" s="39" customFormat="1" ht="13.8" outlineLevel="1" x14ac:dyDescent="0.25">
      <c r="A107" s="89"/>
      <c r="B107" s="89"/>
      <c r="C107" s="188"/>
      <c r="D107" s="189"/>
      <c r="E107" s="188"/>
      <c r="F107" s="190"/>
      <c r="G107" s="106">
        <v>29</v>
      </c>
      <c r="H107" s="51" t="s">
        <v>79</v>
      </c>
      <c r="I107" s="168"/>
      <c r="J107" s="63"/>
      <c r="K107" s="191"/>
      <c r="L107" s="65"/>
      <c r="M107" s="67"/>
      <c r="N107" s="58"/>
      <c r="O107" s="168"/>
      <c r="P107" s="63"/>
      <c r="Q107" s="191"/>
      <c r="R107" s="65"/>
      <c r="S107" s="67"/>
      <c r="T107" s="58"/>
      <c r="U107" s="171"/>
      <c r="V107" s="63"/>
      <c r="W107" s="191"/>
      <c r="X107" s="65"/>
      <c r="Y107" s="67"/>
      <c r="Z107" s="58"/>
    </row>
    <row r="108" spans="1:26" s="39" customFormat="1" ht="21" outlineLevel="1" x14ac:dyDescent="0.25">
      <c r="A108" s="89"/>
      <c r="B108" s="89"/>
      <c r="C108" s="188"/>
      <c r="D108" s="189"/>
      <c r="E108" s="188"/>
      <c r="F108" s="190"/>
      <c r="G108" s="106">
        <v>30</v>
      </c>
      <c r="H108" s="51" t="s">
        <v>335</v>
      </c>
      <c r="I108" s="168"/>
      <c r="J108" s="63"/>
      <c r="K108" s="191"/>
      <c r="L108" s="65"/>
      <c r="M108" s="67"/>
      <c r="N108" s="58"/>
      <c r="O108" s="168"/>
      <c r="P108" s="63"/>
      <c r="Q108" s="191"/>
      <c r="R108" s="65"/>
      <c r="S108" s="67"/>
      <c r="T108" s="58"/>
      <c r="U108" s="171"/>
      <c r="V108" s="63"/>
      <c r="W108" s="191"/>
      <c r="X108" s="65"/>
      <c r="Y108" s="67"/>
      <c r="Z108" s="58"/>
    </row>
    <row r="109" spans="1:26" s="39" customFormat="1" ht="13.8" outlineLevel="1" x14ac:dyDescent="0.25">
      <c r="A109" s="89"/>
      <c r="B109" s="89"/>
      <c r="C109" s="188"/>
      <c r="D109" s="189"/>
      <c r="E109" s="188"/>
      <c r="F109" s="190"/>
      <c r="G109" s="106">
        <v>31</v>
      </c>
      <c r="H109" s="51" t="s">
        <v>80</v>
      </c>
      <c r="I109" s="168"/>
      <c r="J109" s="63"/>
      <c r="K109" s="191"/>
      <c r="L109" s="65"/>
      <c r="M109" s="67"/>
      <c r="N109" s="58"/>
      <c r="O109" s="168"/>
      <c r="P109" s="63"/>
      <c r="Q109" s="191"/>
      <c r="R109" s="65"/>
      <c r="S109" s="67"/>
      <c r="T109" s="58"/>
      <c r="U109" s="171"/>
      <c r="V109" s="63"/>
      <c r="W109" s="191"/>
      <c r="X109" s="65"/>
      <c r="Y109" s="67"/>
      <c r="Z109" s="58"/>
    </row>
    <row r="110" spans="1:26" s="39" customFormat="1" ht="13.8" outlineLevel="1" x14ac:dyDescent="0.25">
      <c r="A110" s="89"/>
      <c r="B110" s="89"/>
      <c r="C110" s="188"/>
      <c r="D110" s="189"/>
      <c r="E110" s="188"/>
      <c r="F110" s="190"/>
      <c r="G110" s="106">
        <v>32</v>
      </c>
      <c r="H110" s="51" t="s">
        <v>344</v>
      </c>
      <c r="I110" s="168"/>
      <c r="J110" s="63"/>
      <c r="K110" s="191"/>
      <c r="L110" s="65"/>
      <c r="M110" s="67"/>
      <c r="N110" s="58"/>
      <c r="O110" s="168"/>
      <c r="P110" s="63"/>
      <c r="Q110" s="191"/>
      <c r="R110" s="65"/>
      <c r="S110" s="67"/>
      <c r="T110" s="58"/>
      <c r="U110" s="171"/>
      <c r="V110" s="63"/>
      <c r="W110" s="191"/>
      <c r="X110" s="65"/>
      <c r="Y110" s="67"/>
      <c r="Z110" s="58"/>
    </row>
    <row r="111" spans="1:26" s="39" customFormat="1" ht="13.8" outlineLevel="1" x14ac:dyDescent="0.25">
      <c r="A111" s="89"/>
      <c r="B111" s="89"/>
      <c r="C111" s="188"/>
      <c r="D111" s="189"/>
      <c r="E111" s="188"/>
      <c r="F111" s="190"/>
      <c r="G111" s="106">
        <v>33</v>
      </c>
      <c r="H111" s="51" t="s">
        <v>81</v>
      </c>
      <c r="I111" s="168"/>
      <c r="J111" s="63"/>
      <c r="K111" s="191"/>
      <c r="L111" s="65"/>
      <c r="M111" s="67"/>
      <c r="N111" s="58"/>
      <c r="O111" s="168"/>
      <c r="P111" s="63"/>
      <c r="Q111" s="191"/>
      <c r="R111" s="65"/>
      <c r="S111" s="67"/>
      <c r="T111" s="58"/>
      <c r="U111" s="171"/>
      <c r="V111" s="63"/>
      <c r="W111" s="191"/>
      <c r="X111" s="65"/>
      <c r="Y111" s="67"/>
      <c r="Z111" s="58"/>
    </row>
    <row r="112" spans="1:26" s="39" customFormat="1" ht="21" outlineLevel="1" x14ac:dyDescent="0.25">
      <c r="A112" s="89"/>
      <c r="B112" s="89"/>
      <c r="C112" s="188"/>
      <c r="D112" s="189"/>
      <c r="E112" s="188"/>
      <c r="F112" s="190"/>
      <c r="G112" s="106">
        <v>34</v>
      </c>
      <c r="H112" s="51" t="s">
        <v>82</v>
      </c>
      <c r="I112" s="168"/>
      <c r="J112" s="63"/>
      <c r="K112" s="191"/>
      <c r="L112" s="65"/>
      <c r="M112" s="67"/>
      <c r="N112" s="58"/>
      <c r="O112" s="168"/>
      <c r="P112" s="63"/>
      <c r="Q112" s="191"/>
      <c r="R112" s="65"/>
      <c r="S112" s="67"/>
      <c r="T112" s="58"/>
      <c r="U112" s="171"/>
      <c r="V112" s="63"/>
      <c r="W112" s="191"/>
      <c r="X112" s="65"/>
      <c r="Y112" s="67"/>
      <c r="Z112" s="58"/>
    </row>
    <row r="113" spans="1:29" s="39" customFormat="1" ht="13.8" outlineLevel="1" x14ac:dyDescent="0.25">
      <c r="A113" s="89"/>
      <c r="B113" s="89"/>
      <c r="C113" s="188"/>
      <c r="D113" s="189"/>
      <c r="E113" s="188"/>
      <c r="F113" s="190"/>
      <c r="G113" s="106">
        <v>35</v>
      </c>
      <c r="H113" s="51" t="s">
        <v>83</v>
      </c>
      <c r="I113" s="168"/>
      <c r="J113" s="63"/>
      <c r="K113" s="191"/>
      <c r="L113" s="65"/>
      <c r="M113" s="67"/>
      <c r="N113" s="58"/>
      <c r="O113" s="168"/>
      <c r="P113" s="63"/>
      <c r="Q113" s="191"/>
      <c r="R113" s="65"/>
      <c r="S113" s="67"/>
      <c r="T113" s="58"/>
      <c r="U113" s="171"/>
      <c r="V113" s="63"/>
      <c r="W113" s="191"/>
      <c r="X113" s="65"/>
      <c r="Y113" s="67"/>
      <c r="Z113" s="58"/>
    </row>
    <row r="114" spans="1:29" s="39" customFormat="1" ht="13.8" outlineLevel="1" x14ac:dyDescent="0.25">
      <c r="A114" s="89"/>
      <c r="B114" s="89"/>
      <c r="C114" s="188"/>
      <c r="D114" s="189"/>
      <c r="E114" s="188"/>
      <c r="F114" s="190"/>
      <c r="G114" s="106">
        <v>36</v>
      </c>
      <c r="H114" s="51" t="s">
        <v>84</v>
      </c>
      <c r="I114" s="168"/>
      <c r="J114" s="63"/>
      <c r="K114" s="191"/>
      <c r="L114" s="65"/>
      <c r="M114" s="67"/>
      <c r="N114" s="58"/>
      <c r="O114" s="168"/>
      <c r="P114" s="63"/>
      <c r="Q114" s="191"/>
      <c r="R114" s="65"/>
      <c r="S114" s="67"/>
      <c r="T114" s="58"/>
      <c r="U114" s="171"/>
      <c r="V114" s="63"/>
      <c r="W114" s="191"/>
      <c r="X114" s="65"/>
      <c r="Y114" s="67"/>
      <c r="Z114" s="58"/>
    </row>
    <row r="115" spans="1:29" s="39" customFormat="1" ht="21" outlineLevel="1" x14ac:dyDescent="0.25">
      <c r="A115" s="89"/>
      <c r="B115" s="89"/>
      <c r="C115" s="188"/>
      <c r="D115" s="189"/>
      <c r="E115" s="188"/>
      <c r="F115" s="190"/>
      <c r="G115" s="106">
        <v>37</v>
      </c>
      <c r="H115" s="51" t="s">
        <v>378</v>
      </c>
      <c r="I115" s="168"/>
      <c r="J115" s="63"/>
      <c r="K115" s="191"/>
      <c r="L115" s="65"/>
      <c r="M115" s="67"/>
      <c r="N115" s="58"/>
      <c r="O115" s="168"/>
      <c r="P115" s="63"/>
      <c r="Q115" s="191"/>
      <c r="R115" s="65"/>
      <c r="S115" s="67"/>
      <c r="T115" s="58"/>
      <c r="U115" s="171"/>
      <c r="V115" s="63"/>
      <c r="W115" s="191"/>
      <c r="X115" s="65"/>
      <c r="Y115" s="67"/>
      <c r="Z115" s="58"/>
    </row>
    <row r="116" spans="1:29" s="39" customFormat="1" ht="13.8" outlineLevel="1" x14ac:dyDescent="0.25">
      <c r="A116" s="89"/>
      <c r="B116" s="89"/>
      <c r="C116" s="188"/>
      <c r="D116" s="189"/>
      <c r="E116" s="188"/>
      <c r="F116" s="190"/>
      <c r="G116" s="106">
        <v>38</v>
      </c>
      <c r="H116" s="51" t="s">
        <v>413</v>
      </c>
      <c r="I116" s="168"/>
      <c r="J116" s="63"/>
      <c r="K116" s="191"/>
      <c r="L116" s="65"/>
      <c r="M116" s="67"/>
      <c r="N116" s="58"/>
      <c r="O116" s="168"/>
      <c r="P116" s="63"/>
      <c r="Q116" s="191"/>
      <c r="R116" s="65"/>
      <c r="S116" s="67"/>
      <c r="T116" s="58"/>
      <c r="U116" s="171"/>
      <c r="V116" s="63"/>
      <c r="W116" s="191"/>
      <c r="X116" s="65"/>
      <c r="Y116" s="67"/>
      <c r="Z116" s="58"/>
    </row>
    <row r="117" spans="1:29" s="39" customFormat="1" ht="21" outlineLevel="1" x14ac:dyDescent="0.25">
      <c r="A117" s="89"/>
      <c r="B117" s="89"/>
      <c r="C117" s="188"/>
      <c r="D117" s="189"/>
      <c r="E117" s="188"/>
      <c r="F117" s="190"/>
      <c r="G117" s="106">
        <v>39</v>
      </c>
      <c r="H117" s="51" t="s">
        <v>414</v>
      </c>
      <c r="I117" s="168"/>
      <c r="J117" s="63"/>
      <c r="K117" s="191"/>
      <c r="L117" s="65"/>
      <c r="M117" s="67"/>
      <c r="N117" s="58"/>
      <c r="O117" s="168"/>
      <c r="P117" s="63"/>
      <c r="Q117" s="191"/>
      <c r="R117" s="65"/>
      <c r="S117" s="67"/>
      <c r="T117" s="58"/>
      <c r="U117" s="171"/>
      <c r="V117" s="63"/>
      <c r="W117" s="191"/>
      <c r="X117" s="65"/>
      <c r="Y117" s="67"/>
      <c r="Z117" s="58"/>
    </row>
    <row r="118" spans="1:29" s="39" customFormat="1" ht="13.8" outlineLevel="1" x14ac:dyDescent="0.25">
      <c r="A118" s="89"/>
      <c r="B118" s="89"/>
      <c r="C118" s="188"/>
      <c r="D118" s="189"/>
      <c r="E118" s="188"/>
      <c r="F118" s="190"/>
      <c r="G118" s="106">
        <v>40</v>
      </c>
      <c r="H118" s="51" t="s">
        <v>415</v>
      </c>
      <c r="I118" s="168"/>
      <c r="J118" s="63"/>
      <c r="K118" s="191"/>
      <c r="L118" s="65"/>
      <c r="M118" s="67"/>
      <c r="N118" s="58"/>
      <c r="O118" s="168"/>
      <c r="P118" s="63"/>
      <c r="Q118" s="191"/>
      <c r="R118" s="65"/>
      <c r="S118" s="67"/>
      <c r="T118" s="58"/>
      <c r="U118" s="171"/>
      <c r="V118" s="63"/>
      <c r="W118" s="191"/>
      <c r="X118" s="65"/>
      <c r="Y118" s="67"/>
      <c r="Z118" s="58"/>
    </row>
    <row r="119" spans="1:29" s="39" customFormat="1" ht="13.8" outlineLevel="1" x14ac:dyDescent="0.25">
      <c r="A119" s="89"/>
      <c r="B119" s="89"/>
      <c r="C119" s="188"/>
      <c r="D119" s="189"/>
      <c r="E119" s="188"/>
      <c r="F119" s="190"/>
      <c r="G119" s="106"/>
      <c r="H119" s="51" t="s">
        <v>95</v>
      </c>
      <c r="I119" s="168"/>
      <c r="J119" s="63"/>
      <c r="K119" s="191"/>
      <c r="L119" s="65"/>
      <c r="M119" s="67"/>
      <c r="N119" s="58"/>
      <c r="O119" s="168"/>
      <c r="P119" s="63"/>
      <c r="Q119" s="191"/>
      <c r="R119" s="65"/>
      <c r="S119" s="67"/>
      <c r="T119" s="58"/>
      <c r="U119" s="171"/>
      <c r="V119" s="63"/>
      <c r="W119" s="191"/>
      <c r="X119" s="65"/>
      <c r="Y119" s="67"/>
      <c r="Z119" s="58"/>
    </row>
    <row r="120" spans="1:29" s="39" customFormat="1" ht="13.8" outlineLevel="1" x14ac:dyDescent="0.25">
      <c r="A120" s="89"/>
      <c r="B120" s="89"/>
      <c r="C120" s="188"/>
      <c r="D120" s="189"/>
      <c r="E120" s="188"/>
      <c r="F120" s="190"/>
      <c r="G120" s="184" t="s">
        <v>93</v>
      </c>
      <c r="H120" s="185" t="s">
        <v>94</v>
      </c>
      <c r="I120" s="168"/>
      <c r="J120" s="62"/>
      <c r="K120" s="186"/>
      <c r="L120" s="64"/>
      <c r="M120" s="66"/>
      <c r="N120" s="59"/>
      <c r="O120" s="168"/>
      <c r="P120" s="62"/>
      <c r="Q120" s="186"/>
      <c r="R120" s="64"/>
      <c r="S120" s="66"/>
      <c r="T120" s="59"/>
      <c r="U120" s="171"/>
      <c r="V120" s="62"/>
      <c r="W120" s="186"/>
      <c r="X120" s="64"/>
      <c r="Y120" s="66"/>
      <c r="Z120" s="59"/>
      <c r="AA120" s="38"/>
      <c r="AB120" s="38"/>
      <c r="AC120" s="38"/>
    </row>
    <row r="121" spans="1:29" s="39" customFormat="1" ht="13.8" outlineLevel="1" x14ac:dyDescent="0.25">
      <c r="A121" s="89"/>
      <c r="B121" s="89"/>
      <c r="C121" s="188"/>
      <c r="D121" s="189"/>
      <c r="E121" s="188"/>
      <c r="F121" s="190"/>
      <c r="G121" s="106">
        <v>1</v>
      </c>
      <c r="H121" s="197" t="s">
        <v>382</v>
      </c>
      <c r="I121" s="168"/>
      <c r="J121" s="63"/>
      <c r="K121" s="191"/>
      <c r="L121" s="65"/>
      <c r="M121" s="67"/>
      <c r="N121" s="58"/>
      <c r="O121" s="168"/>
      <c r="P121" s="63"/>
      <c r="Q121" s="191"/>
      <c r="R121" s="65"/>
      <c r="S121" s="67"/>
      <c r="T121" s="58"/>
      <c r="U121" s="171"/>
      <c r="V121" s="63"/>
      <c r="W121" s="191"/>
      <c r="X121" s="65"/>
      <c r="Y121" s="67"/>
      <c r="Z121" s="58"/>
      <c r="AA121" s="38"/>
      <c r="AB121" s="38"/>
      <c r="AC121" s="38"/>
    </row>
    <row r="122" spans="1:29" s="39" customFormat="1" ht="13.8" outlineLevel="1" x14ac:dyDescent="0.25">
      <c r="A122" s="89"/>
      <c r="B122" s="89"/>
      <c r="C122" s="188"/>
      <c r="D122" s="189"/>
      <c r="E122" s="188"/>
      <c r="F122" s="190"/>
      <c r="G122" s="106">
        <v>2</v>
      </c>
      <c r="H122" s="197" t="s">
        <v>383</v>
      </c>
      <c r="I122" s="168"/>
      <c r="J122" s="63"/>
      <c r="K122" s="191"/>
      <c r="L122" s="65"/>
      <c r="M122" s="67"/>
      <c r="N122" s="58"/>
      <c r="O122" s="168"/>
      <c r="P122" s="63"/>
      <c r="Q122" s="191"/>
      <c r="R122" s="65"/>
      <c r="S122" s="67"/>
      <c r="T122" s="58"/>
      <c r="U122" s="171"/>
      <c r="V122" s="63"/>
      <c r="W122" s="191"/>
      <c r="X122" s="65"/>
      <c r="Y122" s="67"/>
      <c r="Z122" s="58"/>
    </row>
    <row r="123" spans="1:29" s="39" customFormat="1" ht="13.8" outlineLevel="1" x14ac:dyDescent="0.25">
      <c r="A123" s="89"/>
      <c r="B123" s="89"/>
      <c r="C123" s="188"/>
      <c r="D123" s="189"/>
      <c r="E123" s="188"/>
      <c r="F123" s="190"/>
      <c r="G123" s="106">
        <v>3</v>
      </c>
      <c r="H123" s="197" t="s">
        <v>392</v>
      </c>
      <c r="I123" s="168"/>
      <c r="J123" s="63"/>
      <c r="K123" s="191"/>
      <c r="L123" s="65"/>
      <c r="M123" s="67"/>
      <c r="N123" s="58"/>
      <c r="O123" s="168"/>
      <c r="P123" s="63"/>
      <c r="Q123" s="191"/>
      <c r="R123" s="65"/>
      <c r="S123" s="67"/>
      <c r="T123" s="58"/>
      <c r="U123" s="171"/>
      <c r="V123" s="63"/>
      <c r="W123" s="191"/>
      <c r="X123" s="65"/>
      <c r="Y123" s="67"/>
      <c r="Z123" s="58"/>
    </row>
    <row r="124" spans="1:29" s="39" customFormat="1" ht="13.8" outlineLevel="1" x14ac:dyDescent="0.25">
      <c r="A124" s="89"/>
      <c r="B124" s="89"/>
      <c r="C124" s="188"/>
      <c r="D124" s="189"/>
      <c r="E124" s="188"/>
      <c r="F124" s="190"/>
      <c r="G124" s="106">
        <v>4</v>
      </c>
      <c r="H124" s="197" t="s">
        <v>384</v>
      </c>
      <c r="I124" s="168"/>
      <c r="J124" s="63"/>
      <c r="K124" s="191"/>
      <c r="L124" s="65"/>
      <c r="M124" s="67"/>
      <c r="N124" s="58"/>
      <c r="O124" s="168"/>
      <c r="P124" s="63"/>
      <c r="Q124" s="191"/>
      <c r="R124" s="65"/>
      <c r="S124" s="67"/>
      <c r="T124" s="58"/>
      <c r="U124" s="171"/>
      <c r="V124" s="63"/>
      <c r="W124" s="191"/>
      <c r="X124" s="65"/>
      <c r="Y124" s="67"/>
      <c r="Z124" s="58"/>
    </row>
    <row r="125" spans="1:29" s="39" customFormat="1" ht="13.8" outlineLevel="1" x14ac:dyDescent="0.25">
      <c r="A125" s="89"/>
      <c r="B125" s="89"/>
      <c r="C125" s="188"/>
      <c r="D125" s="189"/>
      <c r="E125" s="188"/>
      <c r="F125" s="190"/>
      <c r="G125" s="106"/>
      <c r="H125" s="51" t="s">
        <v>95</v>
      </c>
      <c r="I125" s="168"/>
      <c r="J125" s="63"/>
      <c r="K125" s="191"/>
      <c r="L125" s="65"/>
      <c r="M125" s="67"/>
      <c r="N125" s="58"/>
      <c r="O125" s="168"/>
      <c r="P125" s="63"/>
      <c r="Q125" s="191"/>
      <c r="R125" s="65"/>
      <c r="S125" s="67"/>
      <c r="T125" s="58"/>
      <c r="U125" s="171"/>
      <c r="V125" s="63"/>
      <c r="W125" s="191"/>
      <c r="X125" s="65"/>
      <c r="Y125" s="67"/>
      <c r="Z125" s="58"/>
    </row>
    <row r="126" spans="1:29" s="39" customFormat="1" ht="13.8" outlineLevel="1" x14ac:dyDescent="0.25">
      <c r="A126" s="89"/>
      <c r="B126" s="89"/>
      <c r="C126" s="188"/>
      <c r="D126" s="189"/>
      <c r="E126" s="188"/>
      <c r="F126" s="190"/>
      <c r="G126" s="184" t="s">
        <v>96</v>
      </c>
      <c r="H126" s="185" t="s">
        <v>88</v>
      </c>
      <c r="I126" s="168"/>
      <c r="J126" s="62"/>
      <c r="K126" s="186"/>
      <c r="L126" s="64"/>
      <c r="M126" s="66"/>
      <c r="N126" s="59"/>
      <c r="O126" s="168"/>
      <c r="P126" s="62"/>
      <c r="Q126" s="186"/>
      <c r="R126" s="64"/>
      <c r="S126" s="66"/>
      <c r="T126" s="59"/>
      <c r="U126" s="171"/>
      <c r="V126" s="62"/>
      <c r="W126" s="186"/>
      <c r="X126" s="64"/>
      <c r="Y126" s="66"/>
      <c r="Z126" s="59"/>
      <c r="AA126" s="38"/>
      <c r="AB126" s="38"/>
      <c r="AC126" s="38"/>
    </row>
    <row r="127" spans="1:29" s="39" customFormat="1" ht="13.8" outlineLevel="1" x14ac:dyDescent="0.25">
      <c r="A127" s="89"/>
      <c r="B127" s="89"/>
      <c r="C127" s="188"/>
      <c r="D127" s="189"/>
      <c r="E127" s="188"/>
      <c r="F127" s="190"/>
      <c r="G127" s="106">
        <v>1</v>
      </c>
      <c r="H127" s="197" t="s">
        <v>89</v>
      </c>
      <c r="I127" s="168"/>
      <c r="J127" s="63"/>
      <c r="K127" s="191"/>
      <c r="L127" s="65"/>
      <c r="M127" s="67"/>
      <c r="N127" s="58"/>
      <c r="O127" s="168"/>
      <c r="P127" s="63"/>
      <c r="Q127" s="191"/>
      <c r="R127" s="65"/>
      <c r="S127" s="67"/>
      <c r="T127" s="58"/>
      <c r="U127" s="171"/>
      <c r="V127" s="63"/>
      <c r="W127" s="191"/>
      <c r="X127" s="65"/>
      <c r="Y127" s="67"/>
      <c r="Z127" s="58"/>
      <c r="AA127" s="38"/>
      <c r="AB127" s="38"/>
      <c r="AC127" s="38"/>
    </row>
    <row r="128" spans="1:29" s="39" customFormat="1" ht="13.8" outlineLevel="1" x14ac:dyDescent="0.25">
      <c r="A128" s="89"/>
      <c r="B128" s="89"/>
      <c r="C128" s="188"/>
      <c r="D128" s="189"/>
      <c r="E128" s="188"/>
      <c r="F128" s="190"/>
      <c r="G128" s="106">
        <v>2</v>
      </c>
      <c r="H128" s="51" t="s">
        <v>336</v>
      </c>
      <c r="I128" s="168"/>
      <c r="J128" s="63"/>
      <c r="K128" s="191"/>
      <c r="L128" s="65"/>
      <c r="M128" s="67"/>
      <c r="N128" s="58"/>
      <c r="O128" s="168"/>
      <c r="P128" s="63"/>
      <c r="Q128" s="191"/>
      <c r="R128" s="65"/>
      <c r="S128" s="67"/>
      <c r="T128" s="58"/>
      <c r="U128" s="171"/>
      <c r="V128" s="63"/>
      <c r="W128" s="191"/>
      <c r="X128" s="65"/>
      <c r="Y128" s="67"/>
      <c r="Z128" s="58"/>
    </row>
    <row r="129" spans="1:29" s="39" customFormat="1" ht="13.8" outlineLevel="1" x14ac:dyDescent="0.25">
      <c r="A129" s="89"/>
      <c r="B129" s="89"/>
      <c r="C129" s="188"/>
      <c r="D129" s="189"/>
      <c r="E129" s="188"/>
      <c r="F129" s="190"/>
      <c r="G129" s="106">
        <v>3</v>
      </c>
      <c r="H129" s="51" t="s">
        <v>90</v>
      </c>
      <c r="I129" s="168"/>
      <c r="J129" s="63"/>
      <c r="K129" s="191"/>
      <c r="L129" s="65"/>
      <c r="M129" s="67"/>
      <c r="N129" s="58"/>
      <c r="O129" s="168"/>
      <c r="P129" s="63"/>
      <c r="Q129" s="191"/>
      <c r="R129" s="65"/>
      <c r="S129" s="67"/>
      <c r="T129" s="58"/>
      <c r="U129" s="171"/>
      <c r="V129" s="63"/>
      <c r="W129" s="191"/>
      <c r="X129" s="65"/>
      <c r="Y129" s="67"/>
      <c r="Z129" s="58"/>
    </row>
    <row r="130" spans="1:29" s="39" customFormat="1" ht="13.8" outlineLevel="1" x14ac:dyDescent="0.25">
      <c r="A130" s="89"/>
      <c r="B130" s="89"/>
      <c r="C130" s="188"/>
      <c r="D130" s="189"/>
      <c r="E130" s="188"/>
      <c r="F130" s="190"/>
      <c r="G130" s="106">
        <v>4</v>
      </c>
      <c r="H130" s="51" t="s">
        <v>91</v>
      </c>
      <c r="I130" s="168"/>
      <c r="J130" s="63"/>
      <c r="K130" s="191"/>
      <c r="L130" s="65"/>
      <c r="M130" s="67"/>
      <c r="N130" s="58"/>
      <c r="O130" s="168"/>
      <c r="P130" s="63"/>
      <c r="Q130" s="191"/>
      <c r="R130" s="65"/>
      <c r="S130" s="67"/>
      <c r="T130" s="58"/>
      <c r="U130" s="171"/>
      <c r="V130" s="63"/>
      <c r="W130" s="191"/>
      <c r="X130" s="65"/>
      <c r="Y130" s="67"/>
      <c r="Z130" s="58"/>
    </row>
    <row r="131" spans="1:29" s="39" customFormat="1" ht="13.8" outlineLevel="1" x14ac:dyDescent="0.25">
      <c r="A131" s="89"/>
      <c r="B131" s="89"/>
      <c r="C131" s="188"/>
      <c r="D131" s="189"/>
      <c r="E131" s="188"/>
      <c r="F131" s="190"/>
      <c r="G131" s="106">
        <v>5</v>
      </c>
      <c r="H131" s="51" t="s">
        <v>92</v>
      </c>
      <c r="I131" s="168"/>
      <c r="J131" s="63"/>
      <c r="K131" s="191"/>
      <c r="L131" s="65"/>
      <c r="M131" s="67"/>
      <c r="N131" s="58"/>
      <c r="O131" s="168"/>
      <c r="P131" s="63"/>
      <c r="Q131" s="191"/>
      <c r="R131" s="65"/>
      <c r="S131" s="67"/>
      <c r="T131" s="58"/>
      <c r="U131" s="171"/>
      <c r="V131" s="63"/>
      <c r="W131" s="191"/>
      <c r="X131" s="65"/>
      <c r="Y131" s="67"/>
      <c r="Z131" s="58"/>
    </row>
    <row r="132" spans="1:29" s="39" customFormat="1" ht="13.8" outlineLevel="1" x14ac:dyDescent="0.25">
      <c r="A132" s="89"/>
      <c r="B132" s="89"/>
      <c r="C132" s="188"/>
      <c r="D132" s="189"/>
      <c r="E132" s="188"/>
      <c r="F132" s="190"/>
      <c r="G132" s="106"/>
      <c r="H132" s="51" t="s">
        <v>95</v>
      </c>
      <c r="I132" s="168"/>
      <c r="J132" s="63"/>
      <c r="K132" s="191"/>
      <c r="L132" s="65"/>
      <c r="M132" s="67"/>
      <c r="N132" s="58"/>
      <c r="O132" s="168"/>
      <c r="P132" s="63"/>
      <c r="Q132" s="191"/>
      <c r="R132" s="65"/>
      <c r="S132" s="67"/>
      <c r="T132" s="58"/>
      <c r="U132" s="171"/>
      <c r="V132" s="63"/>
      <c r="W132" s="191"/>
      <c r="X132" s="65"/>
      <c r="Y132" s="67"/>
      <c r="Z132" s="58"/>
    </row>
    <row r="133" spans="1:29" s="39" customFormat="1" ht="13.8" outlineLevel="1" x14ac:dyDescent="0.25">
      <c r="A133" s="89"/>
      <c r="B133" s="89"/>
      <c r="C133" s="188"/>
      <c r="D133" s="189"/>
      <c r="E133" s="188"/>
      <c r="F133" s="190"/>
      <c r="G133" s="184" t="s">
        <v>102</v>
      </c>
      <c r="H133" s="185" t="s">
        <v>101</v>
      </c>
      <c r="I133" s="168"/>
      <c r="J133" s="62"/>
      <c r="K133" s="186"/>
      <c r="L133" s="64"/>
      <c r="M133" s="66"/>
      <c r="N133" s="59"/>
      <c r="O133" s="168"/>
      <c r="P133" s="62"/>
      <c r="Q133" s="186"/>
      <c r="R133" s="64"/>
      <c r="S133" s="66"/>
      <c r="T133" s="59"/>
      <c r="U133" s="171"/>
      <c r="V133" s="62"/>
      <c r="W133" s="186"/>
      <c r="X133" s="64"/>
      <c r="Y133" s="66"/>
      <c r="Z133" s="59"/>
      <c r="AA133" s="38"/>
      <c r="AB133" s="38"/>
      <c r="AC133" s="38"/>
    </row>
    <row r="134" spans="1:29" s="39" customFormat="1" ht="13.8" outlineLevel="1" x14ac:dyDescent="0.25">
      <c r="A134" s="89"/>
      <c r="B134" s="89"/>
      <c r="C134" s="188"/>
      <c r="D134" s="189"/>
      <c r="E134" s="188"/>
      <c r="F134" s="190"/>
      <c r="G134" s="106">
        <v>1</v>
      </c>
      <c r="H134" s="197" t="s">
        <v>97</v>
      </c>
      <c r="I134" s="168"/>
      <c r="J134" s="63"/>
      <c r="K134" s="191"/>
      <c r="L134" s="65"/>
      <c r="M134" s="67"/>
      <c r="N134" s="58"/>
      <c r="O134" s="168"/>
      <c r="P134" s="63"/>
      <c r="Q134" s="191"/>
      <c r="R134" s="65"/>
      <c r="S134" s="67"/>
      <c r="T134" s="58"/>
      <c r="U134" s="171"/>
      <c r="V134" s="63"/>
      <c r="W134" s="191"/>
      <c r="X134" s="65"/>
      <c r="Y134" s="67"/>
      <c r="Z134" s="58"/>
      <c r="AA134" s="38"/>
      <c r="AB134" s="38"/>
      <c r="AC134" s="38"/>
    </row>
    <row r="135" spans="1:29" s="39" customFormat="1" ht="13.8" outlineLevel="1" x14ac:dyDescent="0.25">
      <c r="A135" s="89"/>
      <c r="B135" s="89"/>
      <c r="C135" s="188"/>
      <c r="D135" s="189"/>
      <c r="E135" s="188"/>
      <c r="F135" s="190"/>
      <c r="G135" s="106">
        <v>2</v>
      </c>
      <c r="H135" s="51" t="s">
        <v>98</v>
      </c>
      <c r="I135" s="168"/>
      <c r="J135" s="63"/>
      <c r="K135" s="191"/>
      <c r="L135" s="65"/>
      <c r="M135" s="67"/>
      <c r="N135" s="58"/>
      <c r="O135" s="168"/>
      <c r="P135" s="63"/>
      <c r="Q135" s="191"/>
      <c r="R135" s="65"/>
      <c r="S135" s="67"/>
      <c r="T135" s="58"/>
      <c r="U135" s="171"/>
      <c r="V135" s="63"/>
      <c r="W135" s="191"/>
      <c r="X135" s="65"/>
      <c r="Y135" s="67"/>
      <c r="Z135" s="58"/>
    </row>
    <row r="136" spans="1:29" s="39" customFormat="1" ht="13.8" outlineLevel="1" x14ac:dyDescent="0.25">
      <c r="A136" s="89"/>
      <c r="B136" s="89"/>
      <c r="C136" s="188"/>
      <c r="D136" s="189"/>
      <c r="E136" s="188"/>
      <c r="F136" s="190"/>
      <c r="G136" s="106">
        <v>3</v>
      </c>
      <c r="H136" s="51" t="s">
        <v>99</v>
      </c>
      <c r="I136" s="168"/>
      <c r="J136" s="63"/>
      <c r="K136" s="191"/>
      <c r="L136" s="65"/>
      <c r="M136" s="67"/>
      <c r="N136" s="58"/>
      <c r="O136" s="168"/>
      <c r="P136" s="63"/>
      <c r="Q136" s="191"/>
      <c r="R136" s="65"/>
      <c r="S136" s="67"/>
      <c r="T136" s="58"/>
      <c r="U136" s="171"/>
      <c r="V136" s="63"/>
      <c r="W136" s="191"/>
      <c r="X136" s="65"/>
      <c r="Y136" s="67"/>
      <c r="Z136" s="58"/>
    </row>
    <row r="137" spans="1:29" s="39" customFormat="1" ht="13.8" outlineLevel="1" x14ac:dyDescent="0.25">
      <c r="A137" s="89"/>
      <c r="B137" s="89"/>
      <c r="C137" s="188"/>
      <c r="D137" s="189"/>
      <c r="E137" s="188"/>
      <c r="F137" s="190"/>
      <c r="G137" s="106">
        <v>4</v>
      </c>
      <c r="H137" s="51" t="s">
        <v>100</v>
      </c>
      <c r="I137" s="168"/>
      <c r="J137" s="63"/>
      <c r="K137" s="191"/>
      <c r="L137" s="65"/>
      <c r="M137" s="67"/>
      <c r="N137" s="58"/>
      <c r="O137" s="168"/>
      <c r="P137" s="63"/>
      <c r="Q137" s="191"/>
      <c r="R137" s="65"/>
      <c r="S137" s="67"/>
      <c r="T137" s="58"/>
      <c r="U137" s="171"/>
      <c r="V137" s="63"/>
      <c r="W137" s="191"/>
      <c r="X137" s="65"/>
      <c r="Y137" s="67"/>
      <c r="Z137" s="58"/>
    </row>
    <row r="138" spans="1:29" s="39" customFormat="1" ht="13.8" outlineLevel="1" x14ac:dyDescent="0.25">
      <c r="A138" s="89"/>
      <c r="B138" s="89"/>
      <c r="C138" s="188"/>
      <c r="D138" s="189"/>
      <c r="E138" s="188"/>
      <c r="F138" s="190"/>
      <c r="G138" s="106"/>
      <c r="H138" s="51" t="s">
        <v>95</v>
      </c>
      <c r="I138" s="168"/>
      <c r="J138" s="63"/>
      <c r="K138" s="191"/>
      <c r="L138" s="65"/>
      <c r="M138" s="67"/>
      <c r="N138" s="58"/>
      <c r="O138" s="168"/>
      <c r="P138" s="63"/>
      <c r="Q138" s="191"/>
      <c r="R138" s="65"/>
      <c r="S138" s="67"/>
      <c r="T138" s="58"/>
      <c r="U138" s="171"/>
      <c r="V138" s="63"/>
      <c r="W138" s="191"/>
      <c r="X138" s="65"/>
      <c r="Y138" s="67"/>
      <c r="Z138" s="58"/>
    </row>
    <row r="139" spans="1:29" s="39" customFormat="1" ht="13.8" outlineLevel="1" x14ac:dyDescent="0.25">
      <c r="A139" s="89"/>
      <c r="B139" s="89"/>
      <c r="C139" s="188"/>
      <c r="D139" s="189"/>
      <c r="E139" s="188"/>
      <c r="F139" s="190"/>
      <c r="G139" s="184" t="s">
        <v>103</v>
      </c>
      <c r="H139" s="185" t="s">
        <v>104</v>
      </c>
      <c r="I139" s="168"/>
      <c r="J139" s="62"/>
      <c r="K139" s="186"/>
      <c r="L139" s="64"/>
      <c r="M139" s="66"/>
      <c r="N139" s="59"/>
      <c r="O139" s="168"/>
      <c r="P139" s="62"/>
      <c r="Q139" s="186"/>
      <c r="R139" s="64"/>
      <c r="S139" s="66"/>
      <c r="T139" s="59"/>
      <c r="U139" s="171"/>
      <c r="V139" s="62"/>
      <c r="W139" s="186"/>
      <c r="X139" s="64"/>
      <c r="Y139" s="66"/>
      <c r="Z139" s="59"/>
      <c r="AA139" s="38"/>
      <c r="AB139" s="38"/>
      <c r="AC139" s="38"/>
    </row>
    <row r="140" spans="1:29" s="39" customFormat="1" ht="13.8" outlineLevel="1" x14ac:dyDescent="0.25">
      <c r="A140" s="89"/>
      <c r="B140" s="89"/>
      <c r="C140" s="188"/>
      <c r="D140" s="189"/>
      <c r="E140" s="188"/>
      <c r="F140" s="190"/>
      <c r="G140" s="106">
        <v>1</v>
      </c>
      <c r="H140" s="197" t="s">
        <v>105</v>
      </c>
      <c r="I140" s="168"/>
      <c r="J140" s="63"/>
      <c r="K140" s="191"/>
      <c r="L140" s="65"/>
      <c r="M140" s="67"/>
      <c r="N140" s="58"/>
      <c r="O140" s="168"/>
      <c r="P140" s="63"/>
      <c r="Q140" s="191"/>
      <c r="R140" s="65"/>
      <c r="S140" s="67"/>
      <c r="T140" s="58"/>
      <c r="U140" s="171"/>
      <c r="V140" s="63"/>
      <c r="W140" s="191"/>
      <c r="X140" s="65"/>
      <c r="Y140" s="67"/>
      <c r="Z140" s="58"/>
      <c r="AA140" s="38"/>
      <c r="AB140" s="38"/>
      <c r="AC140" s="38"/>
    </row>
    <row r="141" spans="1:29" s="39" customFormat="1" ht="13.8" outlineLevel="1" x14ac:dyDescent="0.25">
      <c r="A141" s="92"/>
      <c r="B141" s="92"/>
      <c r="C141" s="71"/>
      <c r="D141" s="72"/>
      <c r="E141" s="71"/>
      <c r="F141" s="190"/>
      <c r="G141" s="106">
        <v>2</v>
      </c>
      <c r="H141" s="51" t="s">
        <v>106</v>
      </c>
      <c r="I141" s="168"/>
      <c r="J141" s="63"/>
      <c r="K141" s="191"/>
      <c r="L141" s="65"/>
      <c r="M141" s="67"/>
      <c r="N141" s="58"/>
      <c r="O141" s="168"/>
      <c r="P141" s="63"/>
      <c r="Q141" s="191"/>
      <c r="R141" s="65"/>
      <c r="S141" s="67"/>
      <c r="T141" s="58"/>
      <c r="U141" s="171"/>
      <c r="V141" s="63"/>
      <c r="W141" s="191"/>
      <c r="X141" s="65"/>
      <c r="Y141" s="67"/>
      <c r="Z141" s="58"/>
    </row>
    <row r="142" spans="1:29" s="39" customFormat="1" ht="13.8" outlineLevel="1" x14ac:dyDescent="0.25">
      <c r="A142" s="89"/>
      <c r="B142" s="89"/>
      <c r="C142" s="188"/>
      <c r="D142" s="189"/>
      <c r="E142" s="188"/>
      <c r="F142" s="190"/>
      <c r="G142" s="106">
        <v>3</v>
      </c>
      <c r="H142" s="51" t="s">
        <v>107</v>
      </c>
      <c r="I142" s="168"/>
      <c r="J142" s="63"/>
      <c r="K142" s="191"/>
      <c r="L142" s="65"/>
      <c r="M142" s="67"/>
      <c r="N142" s="58"/>
      <c r="O142" s="168"/>
      <c r="P142" s="63"/>
      <c r="Q142" s="191"/>
      <c r="R142" s="65"/>
      <c r="S142" s="67"/>
      <c r="T142" s="58"/>
      <c r="U142" s="171"/>
      <c r="V142" s="63"/>
      <c r="W142" s="191"/>
      <c r="X142" s="65"/>
      <c r="Y142" s="67"/>
      <c r="Z142" s="58"/>
    </row>
    <row r="143" spans="1:29" s="39" customFormat="1" ht="13.8" outlineLevel="1" x14ac:dyDescent="0.25">
      <c r="A143" s="89"/>
      <c r="B143" s="89"/>
      <c r="C143" s="188"/>
      <c r="D143" s="189"/>
      <c r="E143" s="188"/>
      <c r="F143" s="190"/>
      <c r="G143" s="106"/>
      <c r="H143" s="51" t="s">
        <v>95</v>
      </c>
      <c r="I143" s="168"/>
      <c r="J143" s="63"/>
      <c r="K143" s="191"/>
      <c r="L143" s="65"/>
      <c r="M143" s="67"/>
      <c r="N143" s="58"/>
      <c r="O143" s="168"/>
      <c r="P143" s="63"/>
      <c r="Q143" s="191"/>
      <c r="R143" s="65"/>
      <c r="S143" s="67"/>
      <c r="T143" s="58"/>
      <c r="U143" s="171"/>
      <c r="V143" s="63"/>
      <c r="W143" s="191"/>
      <c r="X143" s="65"/>
      <c r="Y143" s="67"/>
      <c r="Z143" s="58"/>
    </row>
    <row r="144" spans="1:29" s="39" customFormat="1" ht="13.8" outlineLevel="1" x14ac:dyDescent="0.25">
      <c r="A144" s="89"/>
      <c r="B144" s="89"/>
      <c r="C144" s="188"/>
      <c r="D144" s="189"/>
      <c r="E144" s="188"/>
      <c r="F144" s="190"/>
      <c r="G144" s="184" t="s">
        <v>372</v>
      </c>
      <c r="H144" s="185" t="s">
        <v>108</v>
      </c>
      <c r="I144" s="168"/>
      <c r="J144" s="62"/>
      <c r="K144" s="186"/>
      <c r="L144" s="64"/>
      <c r="M144" s="66"/>
      <c r="N144" s="59"/>
      <c r="O144" s="168"/>
      <c r="P144" s="62"/>
      <c r="Q144" s="186"/>
      <c r="R144" s="64"/>
      <c r="S144" s="66"/>
      <c r="T144" s="59"/>
      <c r="U144" s="171"/>
      <c r="V144" s="62"/>
      <c r="W144" s="186"/>
      <c r="X144" s="64"/>
      <c r="Y144" s="66"/>
      <c r="Z144" s="59"/>
      <c r="AA144" s="38"/>
      <c r="AB144" s="38"/>
      <c r="AC144" s="38"/>
    </row>
    <row r="145" spans="1:29" s="39" customFormat="1" ht="13.8" outlineLevel="1" x14ac:dyDescent="0.25">
      <c r="A145" s="89"/>
      <c r="B145" s="89"/>
      <c r="C145" s="188"/>
      <c r="D145" s="189"/>
      <c r="E145" s="188"/>
      <c r="F145" s="190"/>
      <c r="G145" s="106">
        <v>1</v>
      </c>
      <c r="H145" s="197" t="s">
        <v>109</v>
      </c>
      <c r="I145" s="168"/>
      <c r="J145" s="63"/>
      <c r="K145" s="191"/>
      <c r="L145" s="65"/>
      <c r="M145" s="67"/>
      <c r="N145" s="58"/>
      <c r="O145" s="168"/>
      <c r="P145" s="63"/>
      <c r="Q145" s="191"/>
      <c r="R145" s="65"/>
      <c r="S145" s="67"/>
      <c r="T145" s="58"/>
      <c r="U145" s="171"/>
      <c r="V145" s="63"/>
      <c r="W145" s="191"/>
      <c r="X145" s="65"/>
      <c r="Y145" s="67"/>
      <c r="Z145" s="58"/>
      <c r="AA145" s="38"/>
      <c r="AB145" s="38"/>
      <c r="AC145" s="38"/>
    </row>
    <row r="146" spans="1:29" s="39" customFormat="1" ht="13.8" outlineLevel="1" x14ac:dyDescent="0.25">
      <c r="A146" s="89"/>
      <c r="B146" s="89"/>
      <c r="C146" s="188"/>
      <c r="D146" s="189"/>
      <c r="E146" s="188"/>
      <c r="F146" s="190"/>
      <c r="G146" s="106">
        <v>2</v>
      </c>
      <c r="H146" s="51" t="s">
        <v>337</v>
      </c>
      <c r="I146" s="168"/>
      <c r="J146" s="63"/>
      <c r="K146" s="191"/>
      <c r="L146" s="65"/>
      <c r="M146" s="67"/>
      <c r="N146" s="58"/>
      <c r="O146" s="168"/>
      <c r="P146" s="63"/>
      <c r="Q146" s="191"/>
      <c r="R146" s="65"/>
      <c r="S146" s="67"/>
      <c r="T146" s="58"/>
      <c r="U146" s="171"/>
      <c r="V146" s="63"/>
      <c r="W146" s="191"/>
      <c r="X146" s="65"/>
      <c r="Y146" s="67"/>
      <c r="Z146" s="58"/>
    </row>
    <row r="147" spans="1:29" s="39" customFormat="1" ht="13.8" outlineLevel="1" x14ac:dyDescent="0.25">
      <c r="A147" s="112"/>
      <c r="B147" s="112"/>
      <c r="C147" s="198"/>
      <c r="D147" s="199"/>
      <c r="E147" s="198"/>
      <c r="F147" s="200"/>
      <c r="G147" s="124">
        <v>3</v>
      </c>
      <c r="H147" s="113" t="s">
        <v>110</v>
      </c>
      <c r="I147" s="168"/>
      <c r="J147" s="114"/>
      <c r="K147" s="201"/>
      <c r="L147" s="115"/>
      <c r="M147" s="116"/>
      <c r="N147" s="117"/>
      <c r="O147" s="168"/>
      <c r="P147" s="114"/>
      <c r="Q147" s="201"/>
      <c r="R147" s="115"/>
      <c r="S147" s="116"/>
      <c r="T147" s="117"/>
      <c r="U147" s="171"/>
      <c r="V147" s="114"/>
      <c r="W147" s="201"/>
      <c r="X147" s="115"/>
      <c r="Y147" s="116"/>
      <c r="Z147" s="117"/>
    </row>
    <row r="148" spans="1:29" s="39" customFormat="1" ht="13.8" outlineLevel="1" x14ac:dyDescent="0.25">
      <c r="A148" s="91"/>
      <c r="B148" s="91"/>
      <c r="C148" s="202"/>
      <c r="D148" s="203"/>
      <c r="E148" s="202"/>
      <c r="F148" s="204"/>
      <c r="G148" s="107"/>
      <c r="H148" s="118" t="s">
        <v>95</v>
      </c>
      <c r="I148" s="193"/>
      <c r="J148" s="119"/>
      <c r="K148" s="205"/>
      <c r="L148" s="120"/>
      <c r="M148" s="121"/>
      <c r="N148" s="122"/>
      <c r="O148" s="193"/>
      <c r="P148" s="119"/>
      <c r="Q148" s="205"/>
      <c r="R148" s="120"/>
      <c r="S148" s="121"/>
      <c r="T148" s="122"/>
      <c r="U148" s="193"/>
      <c r="V148" s="119"/>
      <c r="W148" s="205"/>
      <c r="X148" s="120"/>
      <c r="Y148" s="121"/>
      <c r="Z148" s="122"/>
    </row>
    <row r="149" spans="1:29" s="39" customFormat="1" ht="13.8" x14ac:dyDescent="0.25">
      <c r="A149" s="206"/>
      <c r="B149" s="206"/>
      <c r="C149" s="206"/>
      <c r="D149" s="206"/>
      <c r="E149" s="73" t="s">
        <v>328</v>
      </c>
      <c r="F149" s="207">
        <f>SUM(F10:F148)</f>
        <v>0</v>
      </c>
      <c r="G149" s="206"/>
      <c r="H149" s="206"/>
      <c r="I149" s="208"/>
      <c r="J149" s="206"/>
      <c r="K149" s="206"/>
      <c r="L149" s="52" t="s">
        <v>111</v>
      </c>
      <c r="M149" s="207">
        <f>SUM(M18:M148)</f>
        <v>0</v>
      </c>
      <c r="N149" s="206"/>
      <c r="O149" s="208"/>
      <c r="P149" s="206"/>
      <c r="Q149" s="206"/>
      <c r="R149" s="52" t="s">
        <v>111</v>
      </c>
      <c r="S149" s="207">
        <f>SUM(S18:S148)</f>
        <v>0</v>
      </c>
      <c r="T149" s="206"/>
      <c r="U149" s="208"/>
      <c r="V149" s="206"/>
      <c r="W149" s="206"/>
      <c r="X149" s="52" t="s">
        <v>111</v>
      </c>
      <c r="Y149" s="207">
        <f>SUM(Y18:Y148)</f>
        <v>0</v>
      </c>
      <c r="Z149" s="206"/>
    </row>
    <row r="152" spans="1:29" x14ac:dyDescent="0.2">
      <c r="A152" s="125" t="s">
        <v>327</v>
      </c>
      <c r="B152" s="209"/>
      <c r="C152" s="209"/>
      <c r="D152" s="53"/>
      <c r="E152" s="210"/>
    </row>
    <row r="153" spans="1:29" x14ac:dyDescent="0.2">
      <c r="A153" s="211" t="str">
        <f>L2</f>
        <v>&lt;hier typen&gt;</v>
      </c>
      <c r="B153" s="212"/>
      <c r="C153" s="212"/>
      <c r="D153" s="212"/>
      <c r="E153" s="213">
        <f>M149</f>
        <v>0</v>
      </c>
    </row>
    <row r="154" spans="1:29" x14ac:dyDescent="0.2">
      <c r="A154" s="165" t="s">
        <v>112</v>
      </c>
      <c r="E154" s="214" t="e">
        <f>E155/M149</f>
        <v>#DIV/0!</v>
      </c>
    </row>
    <row r="155" spans="1:29" x14ac:dyDescent="0.2">
      <c r="A155" s="165" t="s">
        <v>113</v>
      </c>
      <c r="E155" s="215">
        <f>F149-M149</f>
        <v>0</v>
      </c>
    </row>
    <row r="156" spans="1:29" x14ac:dyDescent="0.2">
      <c r="A156" s="165"/>
      <c r="E156" s="216"/>
    </row>
    <row r="157" spans="1:29" x14ac:dyDescent="0.2">
      <c r="A157" s="211" t="str">
        <f>R2</f>
        <v>&lt;hier typen&gt;</v>
      </c>
      <c r="B157" s="212"/>
      <c r="C157" s="212"/>
      <c r="D157" s="212"/>
      <c r="E157" s="213">
        <f>S149</f>
        <v>0</v>
      </c>
    </row>
    <row r="158" spans="1:29" x14ac:dyDescent="0.2">
      <c r="A158" s="165" t="s">
        <v>112</v>
      </c>
      <c r="E158" s="214" t="e">
        <f>E159/S149</f>
        <v>#DIV/0!</v>
      </c>
    </row>
    <row r="159" spans="1:29" x14ac:dyDescent="0.2">
      <c r="A159" s="165" t="s">
        <v>113</v>
      </c>
      <c r="E159" s="215">
        <f>F149-S149</f>
        <v>0</v>
      </c>
    </row>
    <row r="160" spans="1:29" x14ac:dyDescent="0.2">
      <c r="A160" s="165"/>
      <c r="E160" s="216"/>
    </row>
    <row r="161" spans="1:5" x14ac:dyDescent="0.2">
      <c r="A161" s="211" t="str">
        <f>X2</f>
        <v>&lt;hier typen&gt;</v>
      </c>
      <c r="B161" s="212"/>
      <c r="C161" s="212"/>
      <c r="D161" s="212"/>
      <c r="E161" s="213">
        <f>Y149</f>
        <v>0</v>
      </c>
    </row>
    <row r="162" spans="1:5" x14ac:dyDescent="0.2">
      <c r="A162" s="165" t="s">
        <v>112</v>
      </c>
      <c r="E162" s="214" t="e">
        <f>E163/Y149</f>
        <v>#DIV/0!</v>
      </c>
    </row>
    <row r="163" spans="1:5" x14ac:dyDescent="0.2">
      <c r="A163" s="217" t="s">
        <v>113</v>
      </c>
      <c r="B163" s="218"/>
      <c r="C163" s="218"/>
      <c r="D163" s="218"/>
      <c r="E163" s="219">
        <f>F149-Y149</f>
        <v>0</v>
      </c>
    </row>
  </sheetData>
  <mergeCells count="4">
    <mergeCell ref="G8:H9"/>
    <mergeCell ref="J10:N10"/>
    <mergeCell ref="P10:T10"/>
    <mergeCell ref="V10:Z10"/>
  </mergeCells>
  <conditionalFormatting sqref="F149">
    <cfRule type="containsText" dxfId="21" priority="2" operator="containsText" text="nazien">
      <formula>NOT(ISERROR(SEARCH("nazien",F149)))</formula>
    </cfRule>
    <cfRule type="containsText" dxfId="20" priority="3" operator="containsText" text="incl.">
      <formula>NOT(ISERROR(SEARCH("incl.",F149)))</formula>
    </cfRule>
    <cfRule type="containsText" dxfId="19" priority="4" operator="containsText" text="inclusief">
      <formula>NOT(ISERROR(SEARCH("inclusief",F149)))</formula>
    </cfRule>
    <cfRule type="containsText" dxfId="18" priority="5" operator="containsText" text="excl.">
      <formula>NOT(ISERROR(SEARCH("excl.",F149)))</formula>
    </cfRule>
    <cfRule type="containsText" dxfId="17" priority="6" operator="containsText" text="exclusief">
      <formula>NOT(ISERROR(SEARCH("exclusief",F149)))</formula>
    </cfRule>
  </conditionalFormatting>
  <conditionalFormatting sqref="M1 S1 Y1 M7:M1048576 S7:S1048576 Y7:Y1048576">
    <cfRule type="containsText" dxfId="16" priority="1" operator="containsText" text="nazien">
      <formula>NOT(ISERROR(SEARCH("nazien",M1)))</formula>
    </cfRule>
    <cfRule type="containsText" dxfId="15" priority="7" operator="containsText" text="optie">
      <formula>NOT(ISERROR(SEARCH("optie",M1)))</formula>
    </cfRule>
    <cfRule type="containsText" dxfId="14" priority="8" operator="containsText" text="incl.">
      <formula>NOT(ISERROR(SEARCH("incl.",M1)))</formula>
    </cfRule>
    <cfRule type="containsText" dxfId="13" priority="9" operator="containsText" text="inclusief">
      <formula>NOT(ISERROR(SEARCH("inclusief",M1)))</formula>
    </cfRule>
    <cfRule type="containsText" dxfId="12" priority="10" operator="containsText" text="excl.">
      <formula>NOT(ISERROR(SEARCH("excl.",M1)))</formula>
    </cfRule>
    <cfRule type="containsText" dxfId="11" priority="11" operator="containsText" text="exclusief">
      <formula>NOT(ISERROR(SEARCH("exclusief",M1)))</formula>
    </cfRule>
  </conditionalFormatting>
  <hyperlinks>
    <hyperlink ref="H51" location="Kennisbank!A1" display="zie tabblad kennisband" xr:uid="{C4482FDA-65AF-4433-8067-CB36FECDE9E6}"/>
  </hyperlinks>
  <pageMargins left="0.19685039370078741" right="0.19685039370078741" top="0.39370078740157483" bottom="0.39370078740157483" header="0.19685039370078741" footer="0.19685039370078741"/>
  <pageSetup paperSize="8" scale="61" fitToHeight="0"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promptTitle="BIM-propertysets" prompt="Kies hier het juiste document" xr:uid="{6DF48A1C-14FD-4CDE-A1E5-3B1D4A2AAA8E}">
          <x14:formula1>
            <xm:f>'Data en verwijzingen'!$A$2:$A$8</xm:f>
          </x14:formula1>
          <xm:sqref>H123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38348-3510-4994-B0C7-A3226146207D}">
  <dimension ref="A1:AC163"/>
  <sheetViews>
    <sheetView zoomScaleNormal="100" zoomScaleSheetLayoutView="90" workbookViewId="0">
      <pane xSplit="8" ySplit="9" topLeftCell="I66" activePane="bottomRight" state="frozen"/>
      <selection pane="topRight" activeCell="I1" sqref="I1"/>
      <selection pane="bottomLeft" activeCell="A10" sqref="A10"/>
      <selection pane="bottomRight" activeCell="H75" sqref="H75"/>
    </sheetView>
  </sheetViews>
  <sheetFormatPr defaultColWidth="9.109375" defaultRowHeight="10.199999999999999" outlineLevelRow="1" outlineLevelCol="1" x14ac:dyDescent="0.2"/>
  <cols>
    <col min="1" max="1" width="14.5546875" style="38" customWidth="1" outlineLevel="1"/>
    <col min="2" max="2" width="47.5546875" style="38" customWidth="1" outlineLevel="1"/>
    <col min="3" max="5" width="9.88671875" style="38" customWidth="1" outlineLevel="1"/>
    <col min="6" max="6" width="18.5546875" style="38" customWidth="1" outlineLevel="1"/>
    <col min="7" max="7" width="2.6640625" style="38" customWidth="1"/>
    <col min="8" max="8" width="84.6640625" style="38" customWidth="1"/>
    <col min="9" max="9" width="2.6640625" style="38" customWidth="1"/>
    <col min="10" max="10" width="10.6640625" style="38" customWidth="1" outlineLevel="1"/>
    <col min="11" max="11" width="4.6640625" style="38" customWidth="1" outlineLevel="1"/>
    <col min="12" max="12" width="12.6640625" style="38" customWidth="1" outlineLevel="1"/>
    <col min="13" max="13" width="15.6640625" style="38" customWidth="1" outlineLevel="1"/>
    <col min="14" max="14" width="30.6640625" style="38" customWidth="1" outlineLevel="1"/>
    <col min="15" max="15" width="2.6640625" style="38" customWidth="1"/>
    <col min="16" max="16" width="10.6640625" style="38" customWidth="1" outlineLevel="1"/>
    <col min="17" max="17" width="4.6640625" style="38" customWidth="1" outlineLevel="1"/>
    <col min="18" max="18" width="12.6640625" style="38" customWidth="1" outlineLevel="1"/>
    <col min="19" max="19" width="15.6640625" style="38" customWidth="1" outlineLevel="1"/>
    <col min="20" max="20" width="30.6640625" style="38" customWidth="1" outlineLevel="1"/>
    <col min="21" max="21" width="2.6640625" style="38" customWidth="1"/>
    <col min="22" max="22" width="10.6640625" style="38" customWidth="1" outlineLevel="1"/>
    <col min="23" max="23" width="4.6640625" style="38" customWidth="1" outlineLevel="1"/>
    <col min="24" max="24" width="12.6640625" style="38" customWidth="1" outlineLevel="1"/>
    <col min="25" max="25" width="15.6640625" style="38" customWidth="1" outlineLevel="1"/>
    <col min="26" max="26" width="30.6640625" style="38" customWidth="1" outlineLevel="1"/>
    <col min="27" max="27" width="2.6640625" style="38" customWidth="1"/>
    <col min="28" max="16384" width="9.109375" style="38"/>
  </cols>
  <sheetData>
    <row r="1" spans="1:29" s="39" customFormat="1" ht="13.8" x14ac:dyDescent="0.25">
      <c r="A1" s="127" t="s">
        <v>43</v>
      </c>
      <c r="B1" s="128"/>
      <c r="C1" s="129"/>
      <c r="D1" s="130"/>
      <c r="E1" s="131"/>
      <c r="F1" s="132"/>
      <c r="G1" s="133" t="s">
        <v>44</v>
      </c>
      <c r="H1" s="134"/>
      <c r="I1" s="135"/>
      <c r="J1" s="136" t="s">
        <v>45</v>
      </c>
      <c r="K1" s="137"/>
      <c r="L1" s="45"/>
      <c r="M1" s="138"/>
      <c r="N1" s="139"/>
      <c r="O1" s="135"/>
      <c r="P1" s="136" t="s">
        <v>45</v>
      </c>
      <c r="Q1" s="137"/>
      <c r="R1" s="45"/>
      <c r="S1" s="138"/>
      <c r="T1" s="139"/>
      <c r="U1" s="140"/>
      <c r="V1" s="136" t="s">
        <v>45</v>
      </c>
      <c r="W1" s="137"/>
      <c r="X1" s="45"/>
      <c r="Y1" s="138"/>
      <c r="Z1" s="139"/>
      <c r="AA1" s="141"/>
      <c r="AB1" s="141"/>
      <c r="AC1" s="141"/>
    </row>
    <row r="2" spans="1:29" s="39" customFormat="1" ht="13.8" x14ac:dyDescent="0.25">
      <c r="A2" s="142"/>
      <c r="B2" s="143"/>
      <c r="C2" s="144"/>
      <c r="D2" s="145"/>
      <c r="E2" s="146"/>
      <c r="F2" s="147"/>
      <c r="G2" s="148"/>
      <c r="H2" s="149" t="s">
        <v>48</v>
      </c>
      <c r="I2" s="135"/>
      <c r="J2" s="150" t="s">
        <v>47</v>
      </c>
      <c r="K2" s="38"/>
      <c r="L2" s="93" t="s">
        <v>323</v>
      </c>
      <c r="M2" s="93"/>
      <c r="N2" s="151"/>
      <c r="O2" s="135"/>
      <c r="P2" s="150" t="s">
        <v>47</v>
      </c>
      <c r="Q2" s="38"/>
      <c r="R2" s="93" t="s">
        <v>323</v>
      </c>
      <c r="S2" s="93"/>
      <c r="T2" s="151"/>
      <c r="U2" s="140"/>
      <c r="V2" s="150" t="s">
        <v>47</v>
      </c>
      <c r="W2" s="38"/>
      <c r="X2" s="93" t="s">
        <v>323</v>
      </c>
      <c r="Y2" s="93"/>
      <c r="Z2" s="151"/>
      <c r="AA2" s="141"/>
      <c r="AB2" s="141"/>
      <c r="AC2" s="141"/>
    </row>
    <row r="3" spans="1:29" s="39" customFormat="1" ht="13.8" x14ac:dyDescent="0.25">
      <c r="A3" s="142"/>
      <c r="B3" s="143"/>
      <c r="C3" s="144"/>
      <c r="D3" s="145"/>
      <c r="E3" s="146"/>
      <c r="F3" s="147"/>
      <c r="G3" s="148"/>
      <c r="H3" s="149" t="s">
        <v>371</v>
      </c>
      <c r="I3" s="135"/>
      <c r="J3" s="150" t="s">
        <v>369</v>
      </c>
      <c r="K3" s="152"/>
      <c r="L3" s="94" t="s">
        <v>323</v>
      </c>
      <c r="M3" s="94"/>
      <c r="N3" s="151"/>
      <c r="O3" s="135"/>
      <c r="P3" s="150" t="s">
        <v>369</v>
      </c>
      <c r="Q3" s="38"/>
      <c r="R3" s="94" t="s">
        <v>323</v>
      </c>
      <c r="S3" s="94"/>
      <c r="T3" s="151"/>
      <c r="U3" s="140"/>
      <c r="V3" s="150" t="s">
        <v>369</v>
      </c>
      <c r="W3" s="38"/>
      <c r="X3" s="94" t="s">
        <v>323</v>
      </c>
      <c r="Y3" s="94"/>
      <c r="Z3" s="151"/>
      <c r="AA3" s="141"/>
      <c r="AB3" s="141"/>
      <c r="AC3" s="141"/>
    </row>
    <row r="4" spans="1:29" s="39" customFormat="1" ht="13.8" x14ac:dyDescent="0.25">
      <c r="A4" s="153"/>
      <c r="B4" s="95"/>
      <c r="C4" s="154"/>
      <c r="D4" s="155"/>
      <c r="E4" s="156"/>
      <c r="F4" s="157"/>
      <c r="G4" s="148"/>
      <c r="H4" s="149" t="s">
        <v>46</v>
      </c>
      <c r="I4" s="135"/>
      <c r="J4" s="150" t="s">
        <v>34</v>
      </c>
      <c r="K4" s="158"/>
      <c r="L4" s="94" t="s">
        <v>323</v>
      </c>
      <c r="M4" s="94"/>
      <c r="N4" s="151"/>
      <c r="O4" s="135"/>
      <c r="P4" s="150" t="s">
        <v>34</v>
      </c>
      <c r="Q4" s="38"/>
      <c r="R4" s="94" t="s">
        <v>323</v>
      </c>
      <c r="S4" s="94"/>
      <c r="T4" s="151"/>
      <c r="U4" s="140"/>
      <c r="V4" s="150" t="s">
        <v>34</v>
      </c>
      <c r="W4" s="38"/>
      <c r="X4" s="94" t="s">
        <v>323</v>
      </c>
      <c r="Y4" s="94"/>
      <c r="Z4" s="151"/>
      <c r="AA4" s="141"/>
      <c r="AB4" s="141"/>
      <c r="AC4" s="141"/>
    </row>
    <row r="5" spans="1:29" s="39" customFormat="1" ht="13.8" x14ac:dyDescent="0.25">
      <c r="A5" s="153"/>
      <c r="B5" s="95"/>
      <c r="C5" s="154"/>
      <c r="D5" s="155"/>
      <c r="E5" s="156"/>
      <c r="F5" s="159"/>
      <c r="G5" s="148"/>
      <c r="H5" s="149" t="s">
        <v>49</v>
      </c>
      <c r="I5" s="135"/>
      <c r="J5" s="150" t="s">
        <v>51</v>
      </c>
      <c r="K5" s="141"/>
      <c r="L5" s="95" t="s">
        <v>323</v>
      </c>
      <c r="M5" s="95"/>
      <c r="N5" s="151"/>
      <c r="O5" s="135"/>
      <c r="P5" s="150" t="s">
        <v>51</v>
      </c>
      <c r="Q5" s="141"/>
      <c r="R5" s="95" t="s">
        <v>323</v>
      </c>
      <c r="S5" s="95"/>
      <c r="T5" s="151"/>
      <c r="U5" s="140"/>
      <c r="V5" s="150" t="s">
        <v>51</v>
      </c>
      <c r="W5" s="141"/>
      <c r="X5" s="95" t="s">
        <v>323</v>
      </c>
      <c r="Y5" s="95"/>
      <c r="Z5" s="151"/>
      <c r="AA5" s="141"/>
      <c r="AB5" s="141"/>
      <c r="AC5" s="141"/>
    </row>
    <row r="6" spans="1:29" s="39" customFormat="1" ht="13.8" x14ac:dyDescent="0.25">
      <c r="A6" s="160"/>
      <c r="B6" s="161"/>
      <c r="C6" s="162"/>
      <c r="D6" s="75"/>
      <c r="E6" s="163"/>
      <c r="F6" s="164"/>
      <c r="G6" s="148"/>
      <c r="H6" s="149" t="s">
        <v>33</v>
      </c>
      <c r="I6" s="135"/>
      <c r="J6" s="150" t="s">
        <v>370</v>
      </c>
      <c r="K6" s="141"/>
      <c r="L6" s="93" t="s">
        <v>323</v>
      </c>
      <c r="M6" s="93"/>
      <c r="N6" s="151"/>
      <c r="O6" s="135"/>
      <c r="P6" s="150" t="s">
        <v>370</v>
      </c>
      <c r="Q6" s="141"/>
      <c r="R6" s="93" t="s">
        <v>323</v>
      </c>
      <c r="S6" s="93"/>
      <c r="T6" s="151"/>
      <c r="U6" s="140"/>
      <c r="V6" s="150" t="s">
        <v>370</v>
      </c>
      <c r="W6" s="141"/>
      <c r="X6" s="93" t="s">
        <v>323</v>
      </c>
      <c r="Y6" s="93"/>
      <c r="Z6" s="151"/>
      <c r="AA6" s="141"/>
      <c r="AB6" s="141"/>
      <c r="AC6" s="141"/>
    </row>
    <row r="7" spans="1:29" s="39" customFormat="1" ht="13.8" x14ac:dyDescent="0.25">
      <c r="A7" s="165"/>
      <c r="B7" s="38"/>
      <c r="C7" s="38"/>
      <c r="D7" s="38"/>
      <c r="E7" s="38"/>
      <c r="F7" s="38"/>
      <c r="G7" s="166"/>
      <c r="H7" s="167"/>
      <c r="I7" s="168"/>
      <c r="J7" s="169"/>
      <c r="K7" s="74"/>
      <c r="L7" s="75"/>
      <c r="M7" s="76"/>
      <c r="N7" s="170"/>
      <c r="O7" s="168"/>
      <c r="P7" s="169"/>
      <c r="Q7" s="74"/>
      <c r="R7" s="75"/>
      <c r="S7" s="76"/>
      <c r="T7" s="170"/>
      <c r="U7" s="171"/>
      <c r="V7" s="169"/>
      <c r="W7" s="74"/>
      <c r="X7" s="75"/>
      <c r="Y7" s="76"/>
      <c r="Z7" s="170"/>
      <c r="AA7" s="38"/>
      <c r="AB7" s="38"/>
      <c r="AC7" s="38"/>
    </row>
    <row r="8" spans="1:29" s="39" customFormat="1" ht="11.25" customHeight="1" x14ac:dyDescent="0.25">
      <c r="A8" s="96" t="s">
        <v>52</v>
      </c>
      <c r="B8" s="96" t="s">
        <v>37</v>
      </c>
      <c r="C8" s="69" t="s">
        <v>320</v>
      </c>
      <c r="D8" s="97" t="s">
        <v>321</v>
      </c>
      <c r="E8" s="70" t="s">
        <v>322</v>
      </c>
      <c r="F8" s="123" t="s">
        <v>38</v>
      </c>
      <c r="G8" s="235"/>
      <c r="H8" s="236"/>
      <c r="I8" s="168"/>
      <c r="J8" s="54" t="s">
        <v>320</v>
      </c>
      <c r="K8" s="172" t="s">
        <v>321</v>
      </c>
      <c r="L8" s="55" t="s">
        <v>322</v>
      </c>
      <c r="M8" s="56" t="s">
        <v>38</v>
      </c>
      <c r="N8" s="173" t="s">
        <v>50</v>
      </c>
      <c r="O8" s="168"/>
      <c r="P8" s="54" t="s">
        <v>320</v>
      </c>
      <c r="Q8" s="172" t="s">
        <v>321</v>
      </c>
      <c r="R8" s="55" t="s">
        <v>322</v>
      </c>
      <c r="S8" s="56" t="s">
        <v>38</v>
      </c>
      <c r="T8" s="173" t="s">
        <v>50</v>
      </c>
      <c r="U8" s="171"/>
      <c r="V8" s="54" t="s">
        <v>320</v>
      </c>
      <c r="W8" s="172" t="s">
        <v>321</v>
      </c>
      <c r="X8" s="55" t="s">
        <v>322</v>
      </c>
      <c r="Y8" s="56" t="s">
        <v>38</v>
      </c>
      <c r="Z8" s="173" t="s">
        <v>50</v>
      </c>
      <c r="AA8" s="38"/>
      <c r="AB8" s="38"/>
      <c r="AC8" s="38"/>
    </row>
    <row r="9" spans="1:29" s="39" customFormat="1" ht="13.8" x14ac:dyDescent="0.25">
      <c r="A9" s="46"/>
      <c r="B9" s="46"/>
      <c r="C9" s="47"/>
      <c r="D9" s="47"/>
      <c r="E9" s="47"/>
      <c r="F9" s="174"/>
      <c r="G9" s="237"/>
      <c r="H9" s="238"/>
      <c r="I9" s="168"/>
      <c r="J9" s="46"/>
      <c r="K9" s="47"/>
      <c r="L9" s="47"/>
      <c r="M9" s="48"/>
      <c r="N9" s="175"/>
      <c r="O9" s="168"/>
      <c r="P9" s="46"/>
      <c r="Q9" s="47"/>
      <c r="R9" s="47"/>
      <c r="S9" s="48"/>
      <c r="T9" s="175"/>
      <c r="U9" s="171"/>
      <c r="V9" s="46"/>
      <c r="W9" s="47"/>
      <c r="X9" s="47"/>
      <c r="Y9" s="48"/>
      <c r="Z9" s="175"/>
      <c r="AA9" s="38"/>
      <c r="AB9" s="38"/>
      <c r="AC9" s="38"/>
    </row>
    <row r="10" spans="1:29" s="39" customFormat="1" ht="22.95" customHeight="1" x14ac:dyDescent="0.25">
      <c r="A10" s="88"/>
      <c r="B10" s="88"/>
      <c r="C10" s="176"/>
      <c r="D10" s="177"/>
      <c r="E10" s="176"/>
      <c r="F10" s="178"/>
      <c r="G10" s="179"/>
      <c r="H10" s="180"/>
      <c r="I10" s="168"/>
      <c r="J10" s="239" t="s">
        <v>404</v>
      </c>
      <c r="K10" s="240"/>
      <c r="L10" s="240"/>
      <c r="M10" s="240"/>
      <c r="N10" s="241"/>
      <c r="O10" s="168"/>
      <c r="P10" s="239" t="s">
        <v>404</v>
      </c>
      <c r="Q10" s="240"/>
      <c r="R10" s="240"/>
      <c r="S10" s="240"/>
      <c r="T10" s="241"/>
      <c r="U10" s="171"/>
      <c r="V10" s="239" t="s">
        <v>404</v>
      </c>
      <c r="W10" s="240"/>
      <c r="X10" s="240"/>
      <c r="Y10" s="240"/>
      <c r="Z10" s="241"/>
      <c r="AA10" s="38"/>
      <c r="AB10" s="38"/>
      <c r="AC10" s="38"/>
    </row>
    <row r="11" spans="1:29" s="39" customFormat="1" ht="13.8" x14ac:dyDescent="0.25">
      <c r="A11" s="126"/>
      <c r="B11" s="126"/>
      <c r="C11" s="181"/>
      <c r="D11" s="182"/>
      <c r="E11" s="181"/>
      <c r="F11" s="183"/>
      <c r="G11" s="184" t="s">
        <v>53</v>
      </c>
      <c r="H11" s="185" t="s">
        <v>54</v>
      </c>
      <c r="I11" s="168"/>
      <c r="J11" s="62"/>
      <c r="K11" s="186"/>
      <c r="L11" s="64"/>
      <c r="M11" s="50"/>
      <c r="N11" s="57"/>
      <c r="O11" s="168"/>
      <c r="P11" s="60"/>
      <c r="Q11" s="49"/>
      <c r="R11" s="61"/>
      <c r="S11" s="50"/>
      <c r="T11" s="187"/>
      <c r="U11" s="171"/>
      <c r="V11" s="60"/>
      <c r="W11" s="49"/>
      <c r="X11" s="61"/>
      <c r="Y11" s="50"/>
      <c r="Z11" s="187"/>
      <c r="AA11" s="38"/>
      <c r="AB11" s="38"/>
      <c r="AC11" s="38"/>
    </row>
    <row r="12" spans="1:29" s="39" customFormat="1" ht="13.8" x14ac:dyDescent="0.25">
      <c r="A12" s="89"/>
      <c r="B12" s="89"/>
      <c r="C12" s="188"/>
      <c r="D12" s="189"/>
      <c r="E12" s="188"/>
      <c r="F12" s="190"/>
      <c r="G12" s="106">
        <v>1</v>
      </c>
      <c r="H12" s="51"/>
      <c r="I12" s="168"/>
      <c r="J12" s="63"/>
      <c r="K12" s="191"/>
      <c r="L12" s="65"/>
      <c r="M12" s="111" t="s">
        <v>325</v>
      </c>
      <c r="N12" s="58" t="s">
        <v>329</v>
      </c>
      <c r="O12" s="168"/>
      <c r="P12" s="63"/>
      <c r="Q12" s="191"/>
      <c r="R12" s="65"/>
      <c r="S12" s="111" t="s">
        <v>325</v>
      </c>
      <c r="T12" s="58" t="s">
        <v>329</v>
      </c>
      <c r="U12" s="171"/>
      <c r="V12" s="63"/>
      <c r="W12" s="191"/>
      <c r="X12" s="65"/>
      <c r="Y12" s="111" t="s">
        <v>325</v>
      </c>
      <c r="Z12" s="58" t="s">
        <v>329</v>
      </c>
      <c r="AA12" s="38"/>
      <c r="AB12" s="38"/>
      <c r="AC12" s="38"/>
    </row>
    <row r="13" spans="1:29" s="39" customFormat="1" ht="13.8" x14ac:dyDescent="0.25">
      <c r="A13" s="89"/>
      <c r="B13" s="89"/>
      <c r="C13" s="188"/>
      <c r="D13" s="189"/>
      <c r="E13" s="188"/>
      <c r="F13" s="190"/>
      <c r="G13" s="106">
        <v>2</v>
      </c>
      <c r="H13" s="192"/>
      <c r="I13" s="168"/>
      <c r="J13" s="63"/>
      <c r="K13" s="191"/>
      <c r="L13" s="65"/>
      <c r="M13" s="111" t="s">
        <v>40</v>
      </c>
      <c r="N13" s="58" t="s">
        <v>329</v>
      </c>
      <c r="O13" s="168"/>
      <c r="P13" s="63"/>
      <c r="Q13" s="191"/>
      <c r="R13" s="65"/>
      <c r="S13" s="111" t="s">
        <v>40</v>
      </c>
      <c r="T13" s="58" t="s">
        <v>329</v>
      </c>
      <c r="U13" s="171"/>
      <c r="V13" s="63"/>
      <c r="W13" s="191"/>
      <c r="X13" s="65"/>
      <c r="Y13" s="111" t="s">
        <v>40</v>
      </c>
      <c r="Z13" s="58" t="s">
        <v>329</v>
      </c>
      <c r="AA13" s="38"/>
      <c r="AB13" s="38"/>
      <c r="AC13" s="38"/>
    </row>
    <row r="14" spans="1:29" s="39" customFormat="1" ht="13.8" x14ac:dyDescent="0.25">
      <c r="A14" s="89"/>
      <c r="B14" s="89"/>
      <c r="C14" s="188"/>
      <c r="D14" s="189"/>
      <c r="E14" s="188"/>
      <c r="F14" s="190"/>
      <c r="G14" s="106">
        <v>3</v>
      </c>
      <c r="H14" s="192"/>
      <c r="I14" s="168"/>
      <c r="J14" s="63"/>
      <c r="K14" s="191"/>
      <c r="L14" s="65"/>
      <c r="M14" s="111" t="s">
        <v>115</v>
      </c>
      <c r="N14" s="58" t="s">
        <v>329</v>
      </c>
      <c r="O14" s="168"/>
      <c r="P14" s="63"/>
      <c r="Q14" s="191"/>
      <c r="R14" s="65"/>
      <c r="S14" s="111" t="s">
        <v>115</v>
      </c>
      <c r="T14" s="58" t="s">
        <v>329</v>
      </c>
      <c r="U14" s="171"/>
      <c r="V14" s="63"/>
      <c r="W14" s="191"/>
      <c r="X14" s="65"/>
      <c r="Y14" s="111" t="s">
        <v>115</v>
      </c>
      <c r="Z14" s="58" t="s">
        <v>329</v>
      </c>
      <c r="AA14" s="38"/>
      <c r="AB14" s="38"/>
      <c r="AC14" s="38"/>
    </row>
    <row r="15" spans="1:29" s="39" customFormat="1" ht="13.8" x14ac:dyDescent="0.25">
      <c r="A15" s="89"/>
      <c r="B15" s="89"/>
      <c r="C15" s="188"/>
      <c r="D15" s="189"/>
      <c r="E15" s="188"/>
      <c r="F15" s="190"/>
      <c r="G15" s="106">
        <v>4</v>
      </c>
      <c r="H15" s="192"/>
      <c r="I15" s="168"/>
      <c r="J15" s="63"/>
      <c r="K15" s="191"/>
      <c r="L15" s="65"/>
      <c r="M15" s="111" t="s">
        <v>41</v>
      </c>
      <c r="N15" s="58" t="s">
        <v>329</v>
      </c>
      <c r="O15" s="168"/>
      <c r="P15" s="63"/>
      <c r="Q15" s="191"/>
      <c r="R15" s="65"/>
      <c r="S15" s="111" t="s">
        <v>41</v>
      </c>
      <c r="T15" s="58" t="s">
        <v>329</v>
      </c>
      <c r="U15" s="171"/>
      <c r="V15" s="63"/>
      <c r="W15" s="191"/>
      <c r="X15" s="65"/>
      <c r="Y15" s="111" t="s">
        <v>41</v>
      </c>
      <c r="Z15" s="58" t="s">
        <v>329</v>
      </c>
      <c r="AA15" s="38"/>
      <c r="AB15" s="38"/>
      <c r="AC15" s="38"/>
    </row>
    <row r="16" spans="1:29" s="39" customFormat="1" ht="13.8" x14ac:dyDescent="0.25">
      <c r="A16" s="92"/>
      <c r="B16" s="92"/>
      <c r="C16" s="71"/>
      <c r="D16" s="72"/>
      <c r="E16" s="71"/>
      <c r="F16" s="190"/>
      <c r="G16" s="106">
        <v>5</v>
      </c>
      <c r="H16" s="192"/>
      <c r="I16" s="168"/>
      <c r="J16" s="63"/>
      <c r="K16" s="191"/>
      <c r="L16" s="65"/>
      <c r="M16" s="111" t="s">
        <v>42</v>
      </c>
      <c r="N16" s="58" t="s">
        <v>329</v>
      </c>
      <c r="O16" s="168"/>
      <c r="P16" s="63"/>
      <c r="Q16" s="191"/>
      <c r="R16" s="65"/>
      <c r="S16" s="111" t="s">
        <v>42</v>
      </c>
      <c r="T16" s="58" t="s">
        <v>329</v>
      </c>
      <c r="U16" s="171"/>
      <c r="V16" s="63"/>
      <c r="W16" s="191"/>
      <c r="X16" s="65"/>
      <c r="Y16" s="111" t="s">
        <v>42</v>
      </c>
      <c r="Z16" s="58" t="s">
        <v>329</v>
      </c>
    </row>
    <row r="17" spans="1:29" s="39" customFormat="1" ht="13.8" x14ac:dyDescent="0.25">
      <c r="A17" s="102"/>
      <c r="B17" s="103"/>
      <c r="C17" s="188"/>
      <c r="D17" s="189"/>
      <c r="E17" s="188"/>
      <c r="F17" s="190"/>
      <c r="G17" s="106"/>
      <c r="H17" s="51"/>
      <c r="I17" s="193"/>
      <c r="J17" s="63"/>
      <c r="K17" s="191"/>
      <c r="L17" s="65"/>
      <c r="M17" s="111" t="s">
        <v>394</v>
      </c>
      <c r="N17" s="58" t="s">
        <v>329</v>
      </c>
      <c r="O17" s="168"/>
      <c r="P17" s="104"/>
      <c r="Q17" s="191"/>
      <c r="R17" s="105"/>
      <c r="S17" s="111" t="s">
        <v>394</v>
      </c>
      <c r="T17" s="58" t="s">
        <v>329</v>
      </c>
      <c r="U17" s="171"/>
      <c r="V17" s="104"/>
      <c r="W17" s="191"/>
      <c r="X17" s="105"/>
      <c r="Y17" s="111" t="s">
        <v>394</v>
      </c>
      <c r="Z17" s="58" t="s">
        <v>329</v>
      </c>
    </row>
    <row r="18" spans="1:29" s="39" customFormat="1" ht="13.8" x14ac:dyDescent="0.25">
      <c r="A18" s="126"/>
      <c r="B18" s="126"/>
      <c r="C18" s="181"/>
      <c r="D18" s="182"/>
      <c r="E18" s="181"/>
      <c r="F18" s="183"/>
      <c r="G18" s="184" t="s">
        <v>55</v>
      </c>
      <c r="H18" s="185" t="s">
        <v>326</v>
      </c>
      <c r="I18" s="168"/>
      <c r="J18" s="62"/>
      <c r="K18" s="186"/>
      <c r="L18" s="64"/>
      <c r="M18" s="66"/>
      <c r="N18" s="59"/>
      <c r="O18" s="168"/>
      <c r="P18" s="62"/>
      <c r="Q18" s="186"/>
      <c r="R18" s="64"/>
      <c r="S18" s="66"/>
      <c r="T18" s="59"/>
      <c r="U18" s="171"/>
      <c r="V18" s="62"/>
      <c r="W18" s="186"/>
      <c r="X18" s="64"/>
      <c r="Y18" s="66"/>
      <c r="Z18" s="59"/>
      <c r="AA18" s="38"/>
      <c r="AB18" s="38"/>
      <c r="AC18" s="38"/>
    </row>
    <row r="19" spans="1:29" s="39" customFormat="1" ht="13.8" x14ac:dyDescent="0.25">
      <c r="A19" s="89"/>
      <c r="B19" s="89"/>
      <c r="C19" s="188"/>
      <c r="D19" s="189"/>
      <c r="E19" s="188"/>
      <c r="F19" s="190">
        <f t="shared" ref="F19:F27" si="0">E19*C19</f>
        <v>0</v>
      </c>
      <c r="G19" s="106">
        <v>1</v>
      </c>
      <c r="H19" s="51"/>
      <c r="I19" s="168"/>
      <c r="J19" s="63"/>
      <c r="K19" s="191"/>
      <c r="L19" s="65"/>
      <c r="M19" s="67">
        <f>L19*J19</f>
        <v>0</v>
      </c>
      <c r="N19" s="58"/>
      <c r="O19" s="168"/>
      <c r="P19" s="63"/>
      <c r="Q19" s="191"/>
      <c r="R19" s="65"/>
      <c r="S19" s="67">
        <f>R19*P19</f>
        <v>0</v>
      </c>
      <c r="T19" s="58"/>
      <c r="U19" s="171"/>
      <c r="V19" s="63"/>
      <c r="W19" s="191"/>
      <c r="X19" s="65"/>
      <c r="Y19" s="67">
        <f>X19*V19</f>
        <v>0</v>
      </c>
      <c r="Z19" s="58"/>
      <c r="AA19" s="38"/>
      <c r="AB19" s="38"/>
      <c r="AC19" s="38"/>
    </row>
    <row r="20" spans="1:29" s="39" customFormat="1" ht="13.8" x14ac:dyDescent="0.25">
      <c r="A20" s="89"/>
      <c r="B20" s="89"/>
      <c r="C20" s="188"/>
      <c r="D20" s="189"/>
      <c r="E20" s="188"/>
      <c r="F20" s="190">
        <f t="shared" si="0"/>
        <v>0</v>
      </c>
      <c r="G20" s="106">
        <v>2</v>
      </c>
      <c r="H20" s="51"/>
      <c r="I20" s="168"/>
      <c r="J20" s="63"/>
      <c r="K20" s="191"/>
      <c r="L20" s="65"/>
      <c r="M20" s="67">
        <f t="shared" ref="M20:M49" si="1">L20*J20</f>
        <v>0</v>
      </c>
      <c r="N20" s="58"/>
      <c r="O20" s="168"/>
      <c r="P20" s="63"/>
      <c r="Q20" s="191"/>
      <c r="R20" s="65"/>
      <c r="S20" s="67">
        <f t="shared" ref="S20:S49" si="2">R20*P20</f>
        <v>0</v>
      </c>
      <c r="T20" s="58"/>
      <c r="U20" s="171"/>
      <c r="V20" s="63"/>
      <c r="W20" s="191"/>
      <c r="X20" s="65"/>
      <c r="Y20" s="67">
        <f t="shared" ref="Y20:Y49" si="3">X20*V20</f>
        <v>0</v>
      </c>
      <c r="Z20" s="58"/>
    </row>
    <row r="21" spans="1:29" s="39" customFormat="1" ht="13.8" x14ac:dyDescent="0.25">
      <c r="A21" s="89"/>
      <c r="B21" s="89"/>
      <c r="C21" s="188"/>
      <c r="D21" s="189"/>
      <c r="E21" s="188"/>
      <c r="F21" s="190">
        <f t="shared" si="0"/>
        <v>0</v>
      </c>
      <c r="G21" s="106">
        <v>3</v>
      </c>
      <c r="H21" s="51"/>
      <c r="I21" s="168"/>
      <c r="J21" s="63"/>
      <c r="K21" s="191"/>
      <c r="L21" s="65"/>
      <c r="M21" s="67">
        <f t="shared" si="1"/>
        <v>0</v>
      </c>
      <c r="N21" s="58"/>
      <c r="O21" s="168"/>
      <c r="P21" s="63"/>
      <c r="Q21" s="191"/>
      <c r="R21" s="65"/>
      <c r="S21" s="67">
        <f t="shared" si="2"/>
        <v>0</v>
      </c>
      <c r="T21" s="58"/>
      <c r="U21" s="171"/>
      <c r="V21" s="63"/>
      <c r="W21" s="191"/>
      <c r="X21" s="65"/>
      <c r="Y21" s="67">
        <f t="shared" si="3"/>
        <v>0</v>
      </c>
      <c r="Z21" s="58"/>
    </row>
    <row r="22" spans="1:29" s="39" customFormat="1" ht="13.8" x14ac:dyDescent="0.25">
      <c r="A22" s="89"/>
      <c r="B22" s="89"/>
      <c r="C22" s="188"/>
      <c r="D22" s="189"/>
      <c r="E22" s="188"/>
      <c r="F22" s="190">
        <f t="shared" si="0"/>
        <v>0</v>
      </c>
      <c r="G22" s="106">
        <v>4</v>
      </c>
      <c r="H22" s="51"/>
      <c r="I22" s="168"/>
      <c r="J22" s="63"/>
      <c r="K22" s="191"/>
      <c r="L22" s="65"/>
      <c r="M22" s="67">
        <f t="shared" si="1"/>
        <v>0</v>
      </c>
      <c r="N22" s="58"/>
      <c r="O22" s="168"/>
      <c r="P22" s="63"/>
      <c r="Q22" s="191"/>
      <c r="R22" s="65"/>
      <c r="S22" s="67">
        <f t="shared" si="2"/>
        <v>0</v>
      </c>
      <c r="T22" s="58"/>
      <c r="U22" s="171"/>
      <c r="V22" s="63"/>
      <c r="W22" s="191"/>
      <c r="X22" s="65"/>
      <c r="Y22" s="67">
        <f t="shared" si="3"/>
        <v>0</v>
      </c>
      <c r="Z22" s="58"/>
    </row>
    <row r="23" spans="1:29" s="39" customFormat="1" ht="13.8" x14ac:dyDescent="0.25">
      <c r="A23" s="89"/>
      <c r="B23" s="89"/>
      <c r="C23" s="188"/>
      <c r="D23" s="189"/>
      <c r="E23" s="188"/>
      <c r="F23" s="190">
        <f t="shared" si="0"/>
        <v>0</v>
      </c>
      <c r="G23" s="106">
        <v>5</v>
      </c>
      <c r="H23" s="51"/>
      <c r="I23" s="168"/>
      <c r="J23" s="63"/>
      <c r="K23" s="191"/>
      <c r="L23" s="65"/>
      <c r="M23" s="67">
        <f t="shared" si="1"/>
        <v>0</v>
      </c>
      <c r="N23" s="58"/>
      <c r="O23" s="168"/>
      <c r="P23" s="63"/>
      <c r="Q23" s="191"/>
      <c r="R23" s="65"/>
      <c r="S23" s="67">
        <f t="shared" si="2"/>
        <v>0</v>
      </c>
      <c r="T23" s="58"/>
      <c r="U23" s="171"/>
      <c r="V23" s="63"/>
      <c r="W23" s="191"/>
      <c r="X23" s="65"/>
      <c r="Y23" s="67">
        <f t="shared" si="3"/>
        <v>0</v>
      </c>
      <c r="Z23" s="58"/>
    </row>
    <row r="24" spans="1:29" s="39" customFormat="1" ht="13.8" x14ac:dyDescent="0.25">
      <c r="A24" s="89"/>
      <c r="B24" s="89"/>
      <c r="C24" s="188"/>
      <c r="D24" s="189"/>
      <c r="E24" s="188"/>
      <c r="F24" s="190">
        <f t="shared" si="0"/>
        <v>0</v>
      </c>
      <c r="G24" s="106">
        <v>6</v>
      </c>
      <c r="H24" s="51"/>
      <c r="I24" s="168"/>
      <c r="J24" s="63"/>
      <c r="K24" s="191"/>
      <c r="L24" s="65"/>
      <c r="M24" s="67">
        <f t="shared" si="1"/>
        <v>0</v>
      </c>
      <c r="N24" s="58"/>
      <c r="O24" s="168"/>
      <c r="P24" s="63"/>
      <c r="Q24" s="191"/>
      <c r="R24" s="65"/>
      <c r="S24" s="67">
        <f t="shared" si="2"/>
        <v>0</v>
      </c>
      <c r="T24" s="58"/>
      <c r="U24" s="171"/>
      <c r="V24" s="63"/>
      <c r="W24" s="191"/>
      <c r="X24" s="65"/>
      <c r="Y24" s="67">
        <f t="shared" si="3"/>
        <v>0</v>
      </c>
      <c r="Z24" s="58"/>
    </row>
    <row r="25" spans="1:29" s="39" customFormat="1" ht="13.8" x14ac:dyDescent="0.25">
      <c r="A25" s="89"/>
      <c r="B25" s="89"/>
      <c r="C25" s="188"/>
      <c r="D25" s="189"/>
      <c r="E25" s="188"/>
      <c r="F25" s="190">
        <f t="shared" si="0"/>
        <v>0</v>
      </c>
      <c r="G25" s="106">
        <v>7</v>
      </c>
      <c r="H25" s="51"/>
      <c r="I25" s="168"/>
      <c r="J25" s="63"/>
      <c r="K25" s="191"/>
      <c r="L25" s="65"/>
      <c r="M25" s="67">
        <f t="shared" si="1"/>
        <v>0</v>
      </c>
      <c r="N25" s="58"/>
      <c r="O25" s="168"/>
      <c r="P25" s="63"/>
      <c r="Q25" s="191"/>
      <c r="R25" s="65"/>
      <c r="S25" s="67">
        <f t="shared" si="2"/>
        <v>0</v>
      </c>
      <c r="T25" s="58"/>
      <c r="U25" s="171"/>
      <c r="V25" s="63"/>
      <c r="W25" s="191"/>
      <c r="X25" s="65"/>
      <c r="Y25" s="67">
        <f t="shared" si="3"/>
        <v>0</v>
      </c>
      <c r="Z25" s="58"/>
    </row>
    <row r="26" spans="1:29" s="39" customFormat="1" ht="13.8" x14ac:dyDescent="0.25">
      <c r="A26" s="89"/>
      <c r="B26" s="89"/>
      <c r="C26" s="188"/>
      <c r="D26" s="189"/>
      <c r="E26" s="188"/>
      <c r="F26" s="190">
        <f t="shared" si="0"/>
        <v>0</v>
      </c>
      <c r="G26" s="106">
        <v>8</v>
      </c>
      <c r="H26" s="51"/>
      <c r="I26" s="168"/>
      <c r="J26" s="63"/>
      <c r="K26" s="191"/>
      <c r="L26" s="65"/>
      <c r="M26" s="67">
        <f t="shared" si="1"/>
        <v>0</v>
      </c>
      <c r="N26" s="58"/>
      <c r="O26" s="168"/>
      <c r="P26" s="63"/>
      <c r="Q26" s="191"/>
      <c r="R26" s="65"/>
      <c r="S26" s="67">
        <f t="shared" si="2"/>
        <v>0</v>
      </c>
      <c r="T26" s="58"/>
      <c r="U26" s="171"/>
      <c r="V26" s="63"/>
      <c r="W26" s="191"/>
      <c r="X26" s="65"/>
      <c r="Y26" s="67">
        <f t="shared" si="3"/>
        <v>0</v>
      </c>
      <c r="Z26" s="58"/>
    </row>
    <row r="27" spans="1:29" s="39" customFormat="1" ht="13.8" x14ac:dyDescent="0.25">
      <c r="A27" s="89"/>
      <c r="B27" s="89"/>
      <c r="C27" s="188"/>
      <c r="D27" s="189"/>
      <c r="E27" s="188"/>
      <c r="F27" s="190">
        <f t="shared" si="0"/>
        <v>0</v>
      </c>
      <c r="G27" s="106">
        <v>9</v>
      </c>
      <c r="H27" s="51"/>
      <c r="I27" s="168"/>
      <c r="J27" s="63"/>
      <c r="K27" s="191"/>
      <c r="L27" s="65"/>
      <c r="M27" s="67">
        <f t="shared" si="1"/>
        <v>0</v>
      </c>
      <c r="N27" s="58"/>
      <c r="O27" s="168"/>
      <c r="P27" s="63"/>
      <c r="Q27" s="191"/>
      <c r="R27" s="65"/>
      <c r="S27" s="67">
        <f t="shared" si="2"/>
        <v>0</v>
      </c>
      <c r="T27" s="58"/>
      <c r="U27" s="171"/>
      <c r="V27" s="63"/>
      <c r="W27" s="191"/>
      <c r="X27" s="65"/>
      <c r="Y27" s="67">
        <f t="shared" si="3"/>
        <v>0</v>
      </c>
      <c r="Z27" s="58"/>
    </row>
    <row r="28" spans="1:29" s="39" customFormat="1" ht="13.8" x14ac:dyDescent="0.25">
      <c r="A28" s="89"/>
      <c r="B28" s="89"/>
      <c r="C28" s="188"/>
      <c r="D28" s="189"/>
      <c r="E28" s="188"/>
      <c r="F28" s="190">
        <f t="shared" ref="F28:F49" si="4">E28*C28</f>
        <v>0</v>
      </c>
      <c r="G28" s="106">
        <v>10</v>
      </c>
      <c r="H28" s="51"/>
      <c r="I28" s="168"/>
      <c r="J28" s="63"/>
      <c r="K28" s="191"/>
      <c r="L28" s="65"/>
      <c r="M28" s="67">
        <f t="shared" si="1"/>
        <v>0</v>
      </c>
      <c r="N28" s="58"/>
      <c r="O28" s="168"/>
      <c r="P28" s="63"/>
      <c r="Q28" s="191"/>
      <c r="R28" s="65"/>
      <c r="S28" s="67">
        <f t="shared" si="2"/>
        <v>0</v>
      </c>
      <c r="T28" s="58"/>
      <c r="U28" s="171"/>
      <c r="V28" s="63"/>
      <c r="W28" s="191"/>
      <c r="X28" s="65"/>
      <c r="Y28" s="67">
        <f t="shared" si="3"/>
        <v>0</v>
      </c>
      <c r="Z28" s="58"/>
    </row>
    <row r="29" spans="1:29" s="39" customFormat="1" ht="13.8" x14ac:dyDescent="0.25">
      <c r="A29" s="89"/>
      <c r="B29" s="89"/>
      <c r="C29" s="188"/>
      <c r="D29" s="189"/>
      <c r="E29" s="188"/>
      <c r="F29" s="190">
        <f t="shared" si="4"/>
        <v>0</v>
      </c>
      <c r="G29" s="106">
        <v>11</v>
      </c>
      <c r="H29" s="51"/>
      <c r="I29" s="168"/>
      <c r="J29" s="63"/>
      <c r="K29" s="191"/>
      <c r="L29" s="65"/>
      <c r="M29" s="67">
        <f t="shared" si="1"/>
        <v>0</v>
      </c>
      <c r="N29" s="58"/>
      <c r="O29" s="168"/>
      <c r="P29" s="63"/>
      <c r="Q29" s="191"/>
      <c r="R29" s="65"/>
      <c r="S29" s="67">
        <f t="shared" si="2"/>
        <v>0</v>
      </c>
      <c r="T29" s="58"/>
      <c r="U29" s="171"/>
      <c r="V29" s="63"/>
      <c r="W29" s="191"/>
      <c r="X29" s="65"/>
      <c r="Y29" s="67">
        <f t="shared" si="3"/>
        <v>0</v>
      </c>
      <c r="Z29" s="58"/>
    </row>
    <row r="30" spans="1:29" s="39" customFormat="1" ht="13.8" x14ac:dyDescent="0.25">
      <c r="A30" s="89"/>
      <c r="B30" s="89"/>
      <c r="C30" s="188"/>
      <c r="D30" s="189"/>
      <c r="E30" s="188"/>
      <c r="F30" s="190">
        <f t="shared" si="4"/>
        <v>0</v>
      </c>
      <c r="G30" s="106">
        <v>12</v>
      </c>
      <c r="H30" s="51"/>
      <c r="I30" s="168"/>
      <c r="J30" s="63"/>
      <c r="K30" s="191"/>
      <c r="L30" s="65"/>
      <c r="M30" s="67">
        <f t="shared" si="1"/>
        <v>0</v>
      </c>
      <c r="N30" s="58"/>
      <c r="O30" s="168"/>
      <c r="P30" s="63"/>
      <c r="Q30" s="191"/>
      <c r="R30" s="65"/>
      <c r="S30" s="67">
        <f t="shared" si="2"/>
        <v>0</v>
      </c>
      <c r="T30" s="58"/>
      <c r="U30" s="171"/>
      <c r="V30" s="63"/>
      <c r="W30" s="191"/>
      <c r="X30" s="65"/>
      <c r="Y30" s="67">
        <f t="shared" si="3"/>
        <v>0</v>
      </c>
      <c r="Z30" s="58"/>
    </row>
    <row r="31" spans="1:29" s="39" customFormat="1" ht="13.8" x14ac:dyDescent="0.25">
      <c r="A31" s="89"/>
      <c r="B31" s="89"/>
      <c r="C31" s="188"/>
      <c r="D31" s="189"/>
      <c r="E31" s="188"/>
      <c r="F31" s="190">
        <f t="shared" si="4"/>
        <v>0</v>
      </c>
      <c r="G31" s="106">
        <v>13</v>
      </c>
      <c r="H31" s="51"/>
      <c r="I31" s="168"/>
      <c r="J31" s="63"/>
      <c r="K31" s="191"/>
      <c r="L31" s="65"/>
      <c r="M31" s="67">
        <f t="shared" si="1"/>
        <v>0</v>
      </c>
      <c r="N31" s="58"/>
      <c r="O31" s="168"/>
      <c r="P31" s="63"/>
      <c r="Q31" s="191"/>
      <c r="R31" s="65"/>
      <c r="S31" s="67">
        <f t="shared" si="2"/>
        <v>0</v>
      </c>
      <c r="T31" s="58"/>
      <c r="U31" s="171"/>
      <c r="V31" s="63"/>
      <c r="W31" s="191"/>
      <c r="X31" s="65"/>
      <c r="Y31" s="67">
        <f t="shared" si="3"/>
        <v>0</v>
      </c>
      <c r="Z31" s="58"/>
    </row>
    <row r="32" spans="1:29" s="39" customFormat="1" ht="13.8" x14ac:dyDescent="0.25">
      <c r="A32" s="89"/>
      <c r="B32" s="89"/>
      <c r="C32" s="188"/>
      <c r="D32" s="189"/>
      <c r="E32" s="188"/>
      <c r="F32" s="190">
        <f t="shared" si="4"/>
        <v>0</v>
      </c>
      <c r="G32" s="106">
        <v>14</v>
      </c>
      <c r="H32" s="51"/>
      <c r="I32" s="168"/>
      <c r="J32" s="63"/>
      <c r="K32" s="191"/>
      <c r="L32" s="65"/>
      <c r="M32" s="67">
        <f t="shared" si="1"/>
        <v>0</v>
      </c>
      <c r="N32" s="58"/>
      <c r="O32" s="168"/>
      <c r="P32" s="63"/>
      <c r="Q32" s="191"/>
      <c r="R32" s="65"/>
      <c r="S32" s="67">
        <f t="shared" si="2"/>
        <v>0</v>
      </c>
      <c r="T32" s="58"/>
      <c r="U32" s="171"/>
      <c r="V32" s="63"/>
      <c r="W32" s="191"/>
      <c r="X32" s="65"/>
      <c r="Y32" s="67">
        <f t="shared" si="3"/>
        <v>0</v>
      </c>
      <c r="Z32" s="58"/>
    </row>
    <row r="33" spans="1:26" s="39" customFormat="1" ht="13.8" x14ac:dyDescent="0.25">
      <c r="A33" s="89"/>
      <c r="B33" s="89"/>
      <c r="C33" s="188"/>
      <c r="D33" s="189"/>
      <c r="E33" s="188"/>
      <c r="F33" s="190">
        <f t="shared" si="4"/>
        <v>0</v>
      </c>
      <c r="G33" s="106">
        <v>15</v>
      </c>
      <c r="H33" s="51"/>
      <c r="I33" s="168"/>
      <c r="J33" s="63"/>
      <c r="K33" s="191"/>
      <c r="L33" s="65"/>
      <c r="M33" s="67">
        <f t="shared" si="1"/>
        <v>0</v>
      </c>
      <c r="N33" s="58"/>
      <c r="O33" s="168"/>
      <c r="P33" s="63"/>
      <c r="Q33" s="191"/>
      <c r="R33" s="65"/>
      <c r="S33" s="67">
        <f t="shared" si="2"/>
        <v>0</v>
      </c>
      <c r="T33" s="58"/>
      <c r="U33" s="171"/>
      <c r="V33" s="63"/>
      <c r="W33" s="191"/>
      <c r="X33" s="65"/>
      <c r="Y33" s="67">
        <f t="shared" si="3"/>
        <v>0</v>
      </c>
      <c r="Z33" s="58"/>
    </row>
    <row r="34" spans="1:26" s="39" customFormat="1" ht="13.8" x14ac:dyDescent="0.25">
      <c r="A34" s="89"/>
      <c r="B34" s="89"/>
      <c r="C34" s="188"/>
      <c r="D34" s="189"/>
      <c r="E34" s="188"/>
      <c r="F34" s="190">
        <f t="shared" si="4"/>
        <v>0</v>
      </c>
      <c r="G34" s="106">
        <v>16</v>
      </c>
      <c r="H34" s="51"/>
      <c r="I34" s="168"/>
      <c r="J34" s="63"/>
      <c r="K34" s="191"/>
      <c r="L34" s="65"/>
      <c r="M34" s="67">
        <f t="shared" si="1"/>
        <v>0</v>
      </c>
      <c r="N34" s="58"/>
      <c r="O34" s="168"/>
      <c r="P34" s="63"/>
      <c r="Q34" s="191"/>
      <c r="R34" s="65"/>
      <c r="S34" s="67">
        <f t="shared" si="2"/>
        <v>0</v>
      </c>
      <c r="T34" s="58"/>
      <c r="U34" s="171"/>
      <c r="V34" s="63"/>
      <c r="W34" s="191"/>
      <c r="X34" s="65"/>
      <c r="Y34" s="67">
        <f t="shared" si="3"/>
        <v>0</v>
      </c>
      <c r="Z34" s="58"/>
    </row>
    <row r="35" spans="1:26" s="39" customFormat="1" ht="13.8" x14ac:dyDescent="0.25">
      <c r="A35" s="89"/>
      <c r="B35" s="89"/>
      <c r="C35" s="188"/>
      <c r="D35" s="189"/>
      <c r="E35" s="188"/>
      <c r="F35" s="190">
        <f t="shared" si="4"/>
        <v>0</v>
      </c>
      <c r="G35" s="106">
        <v>17</v>
      </c>
      <c r="H35" s="51"/>
      <c r="I35" s="168"/>
      <c r="J35" s="63"/>
      <c r="K35" s="191"/>
      <c r="L35" s="65"/>
      <c r="M35" s="67">
        <f t="shared" si="1"/>
        <v>0</v>
      </c>
      <c r="N35" s="58"/>
      <c r="O35" s="168"/>
      <c r="P35" s="63"/>
      <c r="Q35" s="191"/>
      <c r="R35" s="65"/>
      <c r="S35" s="67">
        <f t="shared" si="2"/>
        <v>0</v>
      </c>
      <c r="T35" s="58"/>
      <c r="U35" s="171"/>
      <c r="V35" s="63"/>
      <c r="W35" s="191"/>
      <c r="X35" s="65"/>
      <c r="Y35" s="67">
        <f t="shared" si="3"/>
        <v>0</v>
      </c>
      <c r="Z35" s="58"/>
    </row>
    <row r="36" spans="1:26" s="39" customFormat="1" ht="13.8" x14ac:dyDescent="0.25">
      <c r="A36" s="89"/>
      <c r="B36" s="89"/>
      <c r="C36" s="188"/>
      <c r="D36" s="189"/>
      <c r="E36" s="188"/>
      <c r="F36" s="190">
        <f t="shared" si="4"/>
        <v>0</v>
      </c>
      <c r="G36" s="106">
        <v>18</v>
      </c>
      <c r="H36" s="51"/>
      <c r="I36" s="168"/>
      <c r="J36" s="63"/>
      <c r="K36" s="191"/>
      <c r="L36" s="65"/>
      <c r="M36" s="67">
        <f t="shared" si="1"/>
        <v>0</v>
      </c>
      <c r="N36" s="58"/>
      <c r="O36" s="168"/>
      <c r="P36" s="63"/>
      <c r="Q36" s="191"/>
      <c r="R36" s="65"/>
      <c r="S36" s="67">
        <f t="shared" si="2"/>
        <v>0</v>
      </c>
      <c r="T36" s="58"/>
      <c r="U36" s="171"/>
      <c r="V36" s="63"/>
      <c r="W36" s="191"/>
      <c r="X36" s="65"/>
      <c r="Y36" s="67">
        <f t="shared" si="3"/>
        <v>0</v>
      </c>
      <c r="Z36" s="58"/>
    </row>
    <row r="37" spans="1:26" s="39" customFormat="1" ht="13.8" x14ac:dyDescent="0.25">
      <c r="A37" s="89"/>
      <c r="B37" s="89"/>
      <c r="C37" s="188"/>
      <c r="D37" s="189"/>
      <c r="E37" s="188"/>
      <c r="F37" s="190">
        <f t="shared" si="4"/>
        <v>0</v>
      </c>
      <c r="G37" s="106">
        <v>19</v>
      </c>
      <c r="H37" s="51"/>
      <c r="I37" s="168"/>
      <c r="J37" s="63"/>
      <c r="K37" s="191"/>
      <c r="L37" s="65"/>
      <c r="M37" s="67">
        <f t="shared" si="1"/>
        <v>0</v>
      </c>
      <c r="N37" s="58"/>
      <c r="O37" s="168"/>
      <c r="P37" s="63"/>
      <c r="Q37" s="191"/>
      <c r="R37" s="65"/>
      <c r="S37" s="67">
        <f t="shared" si="2"/>
        <v>0</v>
      </c>
      <c r="T37" s="58"/>
      <c r="U37" s="171"/>
      <c r="V37" s="63"/>
      <c r="W37" s="191"/>
      <c r="X37" s="65"/>
      <c r="Y37" s="67">
        <f t="shared" si="3"/>
        <v>0</v>
      </c>
      <c r="Z37" s="58"/>
    </row>
    <row r="38" spans="1:26" s="39" customFormat="1" ht="13.8" x14ac:dyDescent="0.25">
      <c r="A38" s="89"/>
      <c r="B38" s="89"/>
      <c r="C38" s="188"/>
      <c r="D38" s="189"/>
      <c r="E38" s="188"/>
      <c r="F38" s="190">
        <f t="shared" si="4"/>
        <v>0</v>
      </c>
      <c r="G38" s="106">
        <v>20</v>
      </c>
      <c r="H38" s="51"/>
      <c r="I38" s="168"/>
      <c r="J38" s="63"/>
      <c r="K38" s="191"/>
      <c r="L38" s="65"/>
      <c r="M38" s="67">
        <f t="shared" si="1"/>
        <v>0</v>
      </c>
      <c r="N38" s="58"/>
      <c r="O38" s="168"/>
      <c r="P38" s="63"/>
      <c r="Q38" s="191"/>
      <c r="R38" s="65"/>
      <c r="S38" s="67">
        <f t="shared" si="2"/>
        <v>0</v>
      </c>
      <c r="T38" s="58"/>
      <c r="U38" s="171"/>
      <c r="V38" s="63"/>
      <c r="W38" s="191"/>
      <c r="X38" s="65"/>
      <c r="Y38" s="67">
        <f t="shared" si="3"/>
        <v>0</v>
      </c>
      <c r="Z38" s="58"/>
    </row>
    <row r="39" spans="1:26" s="39" customFormat="1" ht="13.8" x14ac:dyDescent="0.25">
      <c r="A39" s="89"/>
      <c r="B39" s="89"/>
      <c r="C39" s="188"/>
      <c r="D39" s="189"/>
      <c r="E39" s="188"/>
      <c r="F39" s="190">
        <f t="shared" si="4"/>
        <v>0</v>
      </c>
      <c r="G39" s="106">
        <v>21</v>
      </c>
      <c r="H39" s="51"/>
      <c r="I39" s="168"/>
      <c r="J39" s="63"/>
      <c r="K39" s="191"/>
      <c r="L39" s="65"/>
      <c r="M39" s="67">
        <f t="shared" si="1"/>
        <v>0</v>
      </c>
      <c r="N39" s="58"/>
      <c r="O39" s="168"/>
      <c r="P39" s="63"/>
      <c r="Q39" s="191"/>
      <c r="R39" s="65"/>
      <c r="S39" s="67">
        <f t="shared" si="2"/>
        <v>0</v>
      </c>
      <c r="T39" s="58"/>
      <c r="U39" s="171"/>
      <c r="V39" s="63"/>
      <c r="W39" s="191"/>
      <c r="X39" s="65"/>
      <c r="Y39" s="67">
        <f t="shared" si="3"/>
        <v>0</v>
      </c>
      <c r="Z39" s="58"/>
    </row>
    <row r="40" spans="1:26" s="39" customFormat="1" ht="13.8" x14ac:dyDescent="0.25">
      <c r="A40" s="89"/>
      <c r="B40" s="89"/>
      <c r="C40" s="188"/>
      <c r="D40" s="189"/>
      <c r="E40" s="188"/>
      <c r="F40" s="190">
        <f t="shared" si="4"/>
        <v>0</v>
      </c>
      <c r="G40" s="106">
        <v>22</v>
      </c>
      <c r="H40" s="51"/>
      <c r="I40" s="168"/>
      <c r="J40" s="63"/>
      <c r="K40" s="191"/>
      <c r="L40" s="65"/>
      <c r="M40" s="67">
        <f t="shared" si="1"/>
        <v>0</v>
      </c>
      <c r="N40" s="58"/>
      <c r="O40" s="168"/>
      <c r="P40" s="63"/>
      <c r="Q40" s="191"/>
      <c r="R40" s="65"/>
      <c r="S40" s="67">
        <f t="shared" si="2"/>
        <v>0</v>
      </c>
      <c r="T40" s="58"/>
      <c r="U40" s="171"/>
      <c r="V40" s="63"/>
      <c r="W40" s="191"/>
      <c r="X40" s="65"/>
      <c r="Y40" s="67">
        <f t="shared" si="3"/>
        <v>0</v>
      </c>
      <c r="Z40" s="58"/>
    </row>
    <row r="41" spans="1:26" s="39" customFormat="1" ht="13.8" x14ac:dyDescent="0.25">
      <c r="A41" s="89"/>
      <c r="B41" s="89"/>
      <c r="C41" s="188"/>
      <c r="D41" s="189"/>
      <c r="E41" s="188"/>
      <c r="F41" s="190">
        <f t="shared" si="4"/>
        <v>0</v>
      </c>
      <c r="G41" s="106">
        <v>23</v>
      </c>
      <c r="H41" s="51"/>
      <c r="I41" s="168"/>
      <c r="J41" s="63"/>
      <c r="K41" s="191"/>
      <c r="L41" s="65"/>
      <c r="M41" s="67">
        <f t="shared" si="1"/>
        <v>0</v>
      </c>
      <c r="N41" s="58"/>
      <c r="O41" s="168"/>
      <c r="P41" s="63"/>
      <c r="Q41" s="191"/>
      <c r="R41" s="65"/>
      <c r="S41" s="67">
        <f t="shared" si="2"/>
        <v>0</v>
      </c>
      <c r="T41" s="58"/>
      <c r="U41" s="171"/>
      <c r="V41" s="63"/>
      <c r="W41" s="191"/>
      <c r="X41" s="65"/>
      <c r="Y41" s="67">
        <f t="shared" si="3"/>
        <v>0</v>
      </c>
      <c r="Z41" s="58"/>
    </row>
    <row r="42" spans="1:26" s="39" customFormat="1" ht="13.8" x14ac:dyDescent="0.25">
      <c r="A42" s="89"/>
      <c r="B42" s="89"/>
      <c r="C42" s="188"/>
      <c r="D42" s="189"/>
      <c r="E42" s="188"/>
      <c r="F42" s="190">
        <f t="shared" si="4"/>
        <v>0</v>
      </c>
      <c r="G42" s="106">
        <v>24</v>
      </c>
      <c r="H42" s="51"/>
      <c r="I42" s="168"/>
      <c r="J42" s="63"/>
      <c r="K42" s="191"/>
      <c r="L42" s="65"/>
      <c r="M42" s="67">
        <f t="shared" si="1"/>
        <v>0</v>
      </c>
      <c r="N42" s="58"/>
      <c r="O42" s="168"/>
      <c r="P42" s="63"/>
      <c r="Q42" s="191"/>
      <c r="R42" s="65"/>
      <c r="S42" s="67">
        <f t="shared" si="2"/>
        <v>0</v>
      </c>
      <c r="T42" s="58"/>
      <c r="U42" s="171"/>
      <c r="V42" s="63"/>
      <c r="W42" s="191"/>
      <c r="X42" s="65"/>
      <c r="Y42" s="67">
        <f t="shared" si="3"/>
        <v>0</v>
      </c>
      <c r="Z42" s="58"/>
    </row>
    <row r="43" spans="1:26" s="39" customFormat="1" ht="13.8" x14ac:dyDescent="0.25">
      <c r="A43" s="89"/>
      <c r="B43" s="89"/>
      <c r="C43" s="188"/>
      <c r="D43" s="189"/>
      <c r="E43" s="188"/>
      <c r="F43" s="190">
        <f t="shared" si="4"/>
        <v>0</v>
      </c>
      <c r="G43" s="106">
        <v>25</v>
      </c>
      <c r="H43" s="51"/>
      <c r="I43" s="168"/>
      <c r="J43" s="63"/>
      <c r="K43" s="191"/>
      <c r="L43" s="65"/>
      <c r="M43" s="67">
        <f t="shared" si="1"/>
        <v>0</v>
      </c>
      <c r="N43" s="58"/>
      <c r="O43" s="168"/>
      <c r="P43" s="63"/>
      <c r="Q43" s="191"/>
      <c r="R43" s="65"/>
      <c r="S43" s="67">
        <f t="shared" si="2"/>
        <v>0</v>
      </c>
      <c r="T43" s="58"/>
      <c r="U43" s="171"/>
      <c r="V43" s="63"/>
      <c r="W43" s="191"/>
      <c r="X43" s="65"/>
      <c r="Y43" s="67">
        <f t="shared" si="3"/>
        <v>0</v>
      </c>
      <c r="Z43" s="58"/>
    </row>
    <row r="44" spans="1:26" s="39" customFormat="1" ht="13.8" x14ac:dyDescent="0.25">
      <c r="A44" s="89"/>
      <c r="B44" s="89"/>
      <c r="C44" s="188"/>
      <c r="D44" s="189"/>
      <c r="E44" s="188"/>
      <c r="F44" s="190">
        <f t="shared" si="4"/>
        <v>0</v>
      </c>
      <c r="G44" s="106">
        <v>26</v>
      </c>
      <c r="H44" s="51"/>
      <c r="I44" s="168"/>
      <c r="J44" s="63"/>
      <c r="K44" s="191"/>
      <c r="L44" s="65"/>
      <c r="M44" s="67">
        <f t="shared" si="1"/>
        <v>0</v>
      </c>
      <c r="N44" s="58"/>
      <c r="O44" s="168"/>
      <c r="P44" s="63"/>
      <c r="Q44" s="191"/>
      <c r="R44" s="65"/>
      <c r="S44" s="67">
        <f t="shared" si="2"/>
        <v>0</v>
      </c>
      <c r="T44" s="58"/>
      <c r="U44" s="171"/>
      <c r="V44" s="63"/>
      <c r="W44" s="191"/>
      <c r="X44" s="65"/>
      <c r="Y44" s="67">
        <f t="shared" si="3"/>
        <v>0</v>
      </c>
      <c r="Z44" s="58"/>
    </row>
    <row r="45" spans="1:26" s="39" customFormat="1" ht="13.8" x14ac:dyDescent="0.25">
      <c r="A45" s="89"/>
      <c r="B45" s="89"/>
      <c r="C45" s="188"/>
      <c r="D45" s="189"/>
      <c r="E45" s="188"/>
      <c r="F45" s="190">
        <f t="shared" si="4"/>
        <v>0</v>
      </c>
      <c r="G45" s="106">
        <v>27</v>
      </c>
      <c r="H45" s="51"/>
      <c r="I45" s="168"/>
      <c r="J45" s="63"/>
      <c r="K45" s="191"/>
      <c r="L45" s="65"/>
      <c r="M45" s="67">
        <f t="shared" si="1"/>
        <v>0</v>
      </c>
      <c r="N45" s="58"/>
      <c r="O45" s="168"/>
      <c r="P45" s="63"/>
      <c r="Q45" s="191"/>
      <c r="R45" s="65"/>
      <c r="S45" s="67">
        <f t="shared" si="2"/>
        <v>0</v>
      </c>
      <c r="T45" s="58"/>
      <c r="U45" s="171"/>
      <c r="V45" s="63"/>
      <c r="W45" s="191"/>
      <c r="X45" s="65"/>
      <c r="Y45" s="67">
        <f t="shared" si="3"/>
        <v>0</v>
      </c>
      <c r="Z45" s="58"/>
    </row>
    <row r="46" spans="1:26" s="39" customFormat="1" ht="13.8" x14ac:dyDescent="0.25">
      <c r="A46" s="89"/>
      <c r="B46" s="89"/>
      <c r="C46" s="188"/>
      <c r="D46" s="189"/>
      <c r="E46" s="188"/>
      <c r="F46" s="190">
        <f t="shared" si="4"/>
        <v>0</v>
      </c>
      <c r="G46" s="106">
        <v>28</v>
      </c>
      <c r="H46" s="51"/>
      <c r="I46" s="168"/>
      <c r="J46" s="63"/>
      <c r="K46" s="191"/>
      <c r="L46" s="65"/>
      <c r="M46" s="67">
        <f t="shared" si="1"/>
        <v>0</v>
      </c>
      <c r="N46" s="58"/>
      <c r="O46" s="168"/>
      <c r="P46" s="63"/>
      <c r="Q46" s="191"/>
      <c r="R46" s="65"/>
      <c r="S46" s="67">
        <f t="shared" si="2"/>
        <v>0</v>
      </c>
      <c r="T46" s="58"/>
      <c r="U46" s="171"/>
      <c r="V46" s="63"/>
      <c r="W46" s="191"/>
      <c r="X46" s="65"/>
      <c r="Y46" s="67">
        <f t="shared" si="3"/>
        <v>0</v>
      </c>
      <c r="Z46" s="58"/>
    </row>
    <row r="47" spans="1:26" s="39" customFormat="1" ht="13.8" x14ac:dyDescent="0.25">
      <c r="A47" s="89"/>
      <c r="B47" s="89"/>
      <c r="C47" s="188"/>
      <c r="D47" s="189"/>
      <c r="E47" s="188"/>
      <c r="F47" s="190">
        <f t="shared" si="4"/>
        <v>0</v>
      </c>
      <c r="G47" s="106">
        <v>29</v>
      </c>
      <c r="H47" s="51"/>
      <c r="I47" s="168"/>
      <c r="J47" s="63"/>
      <c r="K47" s="191"/>
      <c r="L47" s="65"/>
      <c r="M47" s="67">
        <f t="shared" si="1"/>
        <v>0</v>
      </c>
      <c r="N47" s="58"/>
      <c r="O47" s="168"/>
      <c r="P47" s="63"/>
      <c r="Q47" s="191"/>
      <c r="R47" s="65"/>
      <c r="S47" s="67">
        <f t="shared" si="2"/>
        <v>0</v>
      </c>
      <c r="T47" s="58"/>
      <c r="U47" s="171"/>
      <c r="V47" s="63"/>
      <c r="W47" s="191"/>
      <c r="X47" s="65"/>
      <c r="Y47" s="67">
        <f t="shared" si="3"/>
        <v>0</v>
      </c>
      <c r="Z47" s="58"/>
    </row>
    <row r="48" spans="1:26" s="39" customFormat="1" ht="13.8" x14ac:dyDescent="0.25">
      <c r="A48" s="89"/>
      <c r="B48" s="89"/>
      <c r="C48" s="188"/>
      <c r="D48" s="189"/>
      <c r="E48" s="188"/>
      <c r="F48" s="190">
        <f t="shared" si="4"/>
        <v>0</v>
      </c>
      <c r="G48" s="106">
        <v>30</v>
      </c>
      <c r="H48" s="51"/>
      <c r="I48" s="168"/>
      <c r="J48" s="63"/>
      <c r="K48" s="191"/>
      <c r="L48" s="65"/>
      <c r="M48" s="67">
        <f t="shared" si="1"/>
        <v>0</v>
      </c>
      <c r="N48" s="58"/>
      <c r="O48" s="168"/>
      <c r="P48" s="63"/>
      <c r="Q48" s="191"/>
      <c r="R48" s="65"/>
      <c r="S48" s="67">
        <f t="shared" si="2"/>
        <v>0</v>
      </c>
      <c r="T48" s="58"/>
      <c r="U48" s="171"/>
      <c r="V48" s="63"/>
      <c r="W48" s="191"/>
      <c r="X48" s="65"/>
      <c r="Y48" s="67">
        <f t="shared" si="3"/>
        <v>0</v>
      </c>
      <c r="Z48" s="58"/>
    </row>
    <row r="49" spans="1:29" s="39" customFormat="1" ht="13.8" x14ac:dyDescent="0.25">
      <c r="A49" s="89"/>
      <c r="B49" s="89"/>
      <c r="C49" s="188"/>
      <c r="D49" s="189"/>
      <c r="E49" s="188"/>
      <c r="F49" s="190">
        <f t="shared" si="4"/>
        <v>0</v>
      </c>
      <c r="G49" s="106"/>
      <c r="H49" s="51"/>
      <c r="I49" s="168"/>
      <c r="J49" s="63"/>
      <c r="K49" s="191"/>
      <c r="L49" s="65"/>
      <c r="M49" s="67">
        <f t="shared" si="1"/>
        <v>0</v>
      </c>
      <c r="N49" s="58"/>
      <c r="O49" s="168"/>
      <c r="P49" s="63"/>
      <c r="Q49" s="191"/>
      <c r="R49" s="65"/>
      <c r="S49" s="67">
        <f t="shared" si="2"/>
        <v>0</v>
      </c>
      <c r="T49" s="58"/>
      <c r="U49" s="171"/>
      <c r="V49" s="63"/>
      <c r="W49" s="191"/>
      <c r="X49" s="65"/>
      <c r="Y49" s="67">
        <f t="shared" si="3"/>
        <v>0</v>
      </c>
      <c r="Z49" s="58"/>
    </row>
    <row r="50" spans="1:29" s="39" customFormat="1" ht="13.8" x14ac:dyDescent="0.25">
      <c r="A50" s="126"/>
      <c r="B50" s="126"/>
      <c r="C50" s="181"/>
      <c r="D50" s="182"/>
      <c r="E50" s="181"/>
      <c r="F50" s="183"/>
      <c r="G50" s="184" t="s">
        <v>56</v>
      </c>
      <c r="H50" s="185" t="s">
        <v>57</v>
      </c>
      <c r="I50" s="168"/>
      <c r="J50" s="62"/>
      <c r="K50" s="186"/>
      <c r="L50" s="64"/>
      <c r="M50" s="66"/>
      <c r="N50" s="59"/>
      <c r="O50" s="168"/>
      <c r="P50" s="62"/>
      <c r="Q50" s="186"/>
      <c r="R50" s="64"/>
      <c r="S50" s="66"/>
      <c r="T50" s="59"/>
      <c r="U50" s="171"/>
      <c r="V50" s="62"/>
      <c r="W50" s="186"/>
      <c r="X50" s="64"/>
      <c r="Y50" s="66"/>
      <c r="Z50" s="59"/>
      <c r="AA50" s="38"/>
      <c r="AB50" s="38"/>
      <c r="AC50" s="38"/>
    </row>
    <row r="51" spans="1:29" s="39" customFormat="1" ht="13.8" x14ac:dyDescent="0.25">
      <c r="A51" s="89"/>
      <c r="B51" s="89"/>
      <c r="C51" s="188"/>
      <c r="D51" s="189"/>
      <c r="E51" s="188"/>
      <c r="F51" s="190"/>
      <c r="G51" s="106">
        <v>1</v>
      </c>
      <c r="H51" s="68" t="s">
        <v>324</v>
      </c>
      <c r="I51" s="168"/>
      <c r="J51" s="63"/>
      <c r="K51" s="191"/>
      <c r="L51" s="65"/>
      <c r="M51" s="67"/>
      <c r="N51" s="58"/>
      <c r="O51" s="168"/>
      <c r="P51" s="63"/>
      <c r="Q51" s="191"/>
      <c r="R51" s="65"/>
      <c r="S51" s="67"/>
      <c r="T51" s="58"/>
      <c r="U51" s="171"/>
      <c r="V51" s="63"/>
      <c r="W51" s="191"/>
      <c r="X51" s="65"/>
      <c r="Y51" s="67"/>
      <c r="Z51" s="58"/>
      <c r="AA51" s="38"/>
      <c r="AB51" s="38"/>
      <c r="AC51" s="38"/>
    </row>
    <row r="52" spans="1:29" s="39" customFormat="1" ht="13.8" x14ac:dyDescent="0.25">
      <c r="A52" s="89"/>
      <c r="B52" s="89"/>
      <c r="C52" s="188"/>
      <c r="D52" s="189"/>
      <c r="E52" s="188"/>
      <c r="F52" s="190"/>
      <c r="G52" s="106">
        <v>2</v>
      </c>
      <c r="H52" s="51"/>
      <c r="I52" s="168"/>
      <c r="J52" s="63"/>
      <c r="K52" s="191"/>
      <c r="L52" s="65"/>
      <c r="M52" s="67"/>
      <c r="N52" s="58"/>
      <c r="O52" s="168"/>
      <c r="P52" s="63"/>
      <c r="Q52" s="191"/>
      <c r="R52" s="65"/>
      <c r="S52" s="67"/>
      <c r="T52" s="58"/>
      <c r="U52" s="171"/>
      <c r="V52" s="63"/>
      <c r="W52" s="191"/>
      <c r="X52" s="65"/>
      <c r="Y52" s="67"/>
      <c r="Z52" s="58"/>
    </row>
    <row r="53" spans="1:29" s="39" customFormat="1" ht="13.8" x14ac:dyDescent="0.25">
      <c r="A53" s="89"/>
      <c r="B53" s="89"/>
      <c r="C53" s="188"/>
      <c r="D53" s="189"/>
      <c r="E53" s="188"/>
      <c r="F53" s="190"/>
      <c r="G53" s="106">
        <v>3</v>
      </c>
      <c r="H53" s="51"/>
      <c r="I53" s="168"/>
      <c r="J53" s="63"/>
      <c r="K53" s="191"/>
      <c r="L53" s="65"/>
      <c r="M53" s="67"/>
      <c r="N53" s="58"/>
      <c r="O53" s="168"/>
      <c r="P53" s="63"/>
      <c r="Q53" s="191"/>
      <c r="R53" s="65"/>
      <c r="S53" s="67"/>
      <c r="T53" s="58"/>
      <c r="U53" s="171"/>
      <c r="V53" s="63"/>
      <c r="W53" s="191"/>
      <c r="X53" s="65"/>
      <c r="Y53" s="67"/>
      <c r="Z53" s="58"/>
    </row>
    <row r="54" spans="1:29" s="39" customFormat="1" ht="13.8" x14ac:dyDescent="0.25">
      <c r="A54" s="89"/>
      <c r="B54" s="89"/>
      <c r="C54" s="188"/>
      <c r="D54" s="189"/>
      <c r="E54" s="188"/>
      <c r="F54" s="190"/>
      <c r="G54" s="106">
        <v>4</v>
      </c>
      <c r="H54" s="51"/>
      <c r="I54" s="168"/>
      <c r="J54" s="63"/>
      <c r="K54" s="191"/>
      <c r="L54" s="65"/>
      <c r="M54" s="67"/>
      <c r="N54" s="58"/>
      <c r="O54" s="168"/>
      <c r="P54" s="63"/>
      <c r="Q54" s="191"/>
      <c r="R54" s="65"/>
      <c r="S54" s="67"/>
      <c r="T54" s="58"/>
      <c r="U54" s="171"/>
      <c r="V54" s="63"/>
      <c r="W54" s="191"/>
      <c r="X54" s="65"/>
      <c r="Y54" s="67"/>
      <c r="Z54" s="58"/>
    </row>
    <row r="55" spans="1:29" s="39" customFormat="1" ht="13.8" x14ac:dyDescent="0.25">
      <c r="A55" s="89"/>
      <c r="B55" s="89"/>
      <c r="C55" s="188"/>
      <c r="D55" s="189"/>
      <c r="E55" s="188"/>
      <c r="F55" s="190"/>
      <c r="G55" s="106">
        <v>5</v>
      </c>
      <c r="H55" s="51"/>
      <c r="I55" s="168"/>
      <c r="J55" s="63"/>
      <c r="K55" s="191"/>
      <c r="L55" s="65"/>
      <c r="M55" s="67"/>
      <c r="N55" s="58"/>
      <c r="O55" s="168"/>
      <c r="P55" s="63"/>
      <c r="Q55" s="191"/>
      <c r="R55" s="65"/>
      <c r="S55" s="67"/>
      <c r="T55" s="58"/>
      <c r="U55" s="171"/>
      <c r="V55" s="63"/>
      <c r="W55" s="191"/>
      <c r="X55" s="65"/>
      <c r="Y55" s="67"/>
      <c r="Z55" s="58"/>
    </row>
    <row r="56" spans="1:29" s="39" customFormat="1" ht="13.8" x14ac:dyDescent="0.25">
      <c r="A56" s="89"/>
      <c r="B56" s="89"/>
      <c r="C56" s="188"/>
      <c r="D56" s="189"/>
      <c r="E56" s="188"/>
      <c r="F56" s="190"/>
      <c r="G56" s="106">
        <v>6</v>
      </c>
      <c r="H56" s="51"/>
      <c r="I56" s="168"/>
      <c r="J56" s="63"/>
      <c r="K56" s="191"/>
      <c r="L56" s="65"/>
      <c r="M56" s="67"/>
      <c r="N56" s="58"/>
      <c r="O56" s="168"/>
      <c r="P56" s="63"/>
      <c r="Q56" s="191"/>
      <c r="R56" s="65"/>
      <c r="S56" s="67"/>
      <c r="T56" s="58"/>
      <c r="U56" s="171"/>
      <c r="V56" s="63"/>
      <c r="W56" s="191"/>
      <c r="X56" s="65"/>
      <c r="Y56" s="67"/>
      <c r="Z56" s="58"/>
    </row>
    <row r="57" spans="1:29" s="39" customFormat="1" ht="13.8" x14ac:dyDescent="0.25">
      <c r="A57" s="89"/>
      <c r="B57" s="89"/>
      <c r="C57" s="188"/>
      <c r="D57" s="189"/>
      <c r="E57" s="188"/>
      <c r="F57" s="190"/>
      <c r="G57" s="106">
        <v>7</v>
      </c>
      <c r="H57" s="51"/>
      <c r="I57" s="168"/>
      <c r="J57" s="63"/>
      <c r="K57" s="191"/>
      <c r="L57" s="65"/>
      <c r="M57" s="67"/>
      <c r="N57" s="58"/>
      <c r="O57" s="168"/>
      <c r="P57" s="63"/>
      <c r="Q57" s="191"/>
      <c r="R57" s="65"/>
      <c r="S57" s="67"/>
      <c r="T57" s="58"/>
      <c r="U57" s="171"/>
      <c r="V57" s="63"/>
      <c r="W57" s="191"/>
      <c r="X57" s="65"/>
      <c r="Y57" s="67"/>
      <c r="Z57" s="58"/>
    </row>
    <row r="58" spans="1:29" s="39" customFormat="1" ht="13.8" x14ac:dyDescent="0.25">
      <c r="A58" s="89"/>
      <c r="B58" s="89"/>
      <c r="C58" s="188"/>
      <c r="D58" s="189"/>
      <c r="E58" s="188"/>
      <c r="F58" s="190"/>
      <c r="G58" s="106">
        <v>8</v>
      </c>
      <c r="H58" s="51"/>
      <c r="I58" s="168"/>
      <c r="J58" s="63"/>
      <c r="K58" s="191"/>
      <c r="L58" s="65"/>
      <c r="M58" s="67"/>
      <c r="N58" s="58"/>
      <c r="O58" s="168"/>
      <c r="P58" s="63"/>
      <c r="Q58" s="191"/>
      <c r="R58" s="65"/>
      <c r="S58" s="67"/>
      <c r="T58" s="58"/>
      <c r="U58" s="171"/>
      <c r="V58" s="63"/>
      <c r="W58" s="191"/>
      <c r="X58" s="65"/>
      <c r="Y58" s="67"/>
      <c r="Z58" s="58"/>
    </row>
    <row r="59" spans="1:29" s="39" customFormat="1" ht="13.8" x14ac:dyDescent="0.25">
      <c r="A59" s="89"/>
      <c r="B59" s="89"/>
      <c r="C59" s="188"/>
      <c r="D59" s="189"/>
      <c r="E59" s="188"/>
      <c r="F59" s="190"/>
      <c r="G59" s="106">
        <v>9</v>
      </c>
      <c r="H59" s="51"/>
      <c r="I59" s="168"/>
      <c r="J59" s="63"/>
      <c r="K59" s="191"/>
      <c r="L59" s="65"/>
      <c r="M59" s="67"/>
      <c r="N59" s="58"/>
      <c r="O59" s="168"/>
      <c r="P59" s="63"/>
      <c r="Q59" s="191"/>
      <c r="R59" s="65"/>
      <c r="S59" s="67"/>
      <c r="T59" s="58"/>
      <c r="U59" s="171"/>
      <c r="V59" s="63"/>
      <c r="W59" s="191"/>
      <c r="X59" s="65"/>
      <c r="Y59" s="67"/>
      <c r="Z59" s="58"/>
    </row>
    <row r="60" spans="1:29" s="39" customFormat="1" ht="13.8" x14ac:dyDescent="0.25">
      <c r="A60" s="89"/>
      <c r="B60" s="89"/>
      <c r="C60" s="188"/>
      <c r="D60" s="189"/>
      <c r="E60" s="188"/>
      <c r="F60" s="190"/>
      <c r="G60" s="106">
        <v>10</v>
      </c>
      <c r="H60" s="51"/>
      <c r="I60" s="168"/>
      <c r="J60" s="63"/>
      <c r="K60" s="191"/>
      <c r="L60" s="65"/>
      <c r="M60" s="67"/>
      <c r="N60" s="58"/>
      <c r="O60" s="168"/>
      <c r="P60" s="63"/>
      <c r="Q60" s="191"/>
      <c r="R60" s="65"/>
      <c r="S60" s="67"/>
      <c r="T60" s="58"/>
      <c r="U60" s="171"/>
      <c r="V60" s="63"/>
      <c r="W60" s="191"/>
      <c r="X60" s="65"/>
      <c r="Y60" s="67"/>
      <c r="Z60" s="58"/>
    </row>
    <row r="61" spans="1:29" s="39" customFormat="1" ht="13.8" x14ac:dyDescent="0.25">
      <c r="A61" s="89"/>
      <c r="B61" s="89"/>
      <c r="C61" s="188"/>
      <c r="D61" s="189"/>
      <c r="E61" s="188"/>
      <c r="F61" s="190"/>
      <c r="G61" s="106"/>
      <c r="H61" s="51"/>
      <c r="I61" s="168"/>
      <c r="J61" s="63"/>
      <c r="K61" s="191"/>
      <c r="L61" s="65"/>
      <c r="M61" s="67"/>
      <c r="N61" s="58"/>
      <c r="O61" s="168"/>
      <c r="P61" s="63"/>
      <c r="Q61" s="191"/>
      <c r="R61" s="65"/>
      <c r="S61" s="67"/>
      <c r="T61" s="58"/>
      <c r="U61" s="171"/>
      <c r="V61" s="63"/>
      <c r="W61" s="191"/>
      <c r="X61" s="65"/>
      <c r="Y61" s="67"/>
      <c r="Z61" s="58"/>
    </row>
    <row r="62" spans="1:29" s="39" customFormat="1" ht="13.8" x14ac:dyDescent="0.25">
      <c r="A62" s="126"/>
      <c r="B62" s="126"/>
      <c r="C62" s="181"/>
      <c r="D62" s="182"/>
      <c r="E62" s="181"/>
      <c r="F62" s="183"/>
      <c r="G62" s="184" t="s">
        <v>58</v>
      </c>
      <c r="H62" s="185" t="s">
        <v>373</v>
      </c>
      <c r="I62" s="168"/>
      <c r="J62" s="62"/>
      <c r="K62" s="186"/>
      <c r="L62" s="64"/>
      <c r="M62" s="66"/>
      <c r="N62" s="59"/>
      <c r="O62" s="168"/>
      <c r="P62" s="62"/>
      <c r="Q62" s="186"/>
      <c r="R62" s="64"/>
      <c r="S62" s="66"/>
      <c r="T62" s="59"/>
      <c r="U62" s="171"/>
      <c r="V62" s="62"/>
      <c r="W62" s="186"/>
      <c r="X62" s="64"/>
      <c r="Y62" s="66"/>
      <c r="Z62" s="59"/>
    </row>
    <row r="63" spans="1:29" s="39" customFormat="1" ht="13.8" x14ac:dyDescent="0.25">
      <c r="A63" s="89"/>
      <c r="B63" s="89"/>
      <c r="C63" s="188"/>
      <c r="D63" s="189"/>
      <c r="E63" s="188"/>
      <c r="F63" s="190"/>
      <c r="G63" s="106">
        <v>1</v>
      </c>
      <c r="H63" s="51"/>
      <c r="I63" s="168"/>
      <c r="J63" s="63"/>
      <c r="K63" s="191"/>
      <c r="L63" s="65"/>
      <c r="M63" s="67"/>
      <c r="N63" s="58"/>
      <c r="O63" s="168"/>
      <c r="P63" s="63"/>
      <c r="Q63" s="191"/>
      <c r="R63" s="65"/>
      <c r="S63" s="67"/>
      <c r="T63" s="58"/>
      <c r="U63" s="171"/>
      <c r="V63" s="63"/>
      <c r="W63" s="191"/>
      <c r="X63" s="65"/>
      <c r="Y63" s="67"/>
      <c r="Z63" s="58"/>
    </row>
    <row r="64" spans="1:29" s="39" customFormat="1" ht="13.8" x14ac:dyDescent="0.25">
      <c r="A64" s="89"/>
      <c r="B64" s="89"/>
      <c r="C64" s="188"/>
      <c r="D64" s="189"/>
      <c r="E64" s="188"/>
      <c r="F64" s="190"/>
      <c r="G64" s="106">
        <v>2</v>
      </c>
      <c r="H64" s="51"/>
      <c r="I64" s="168"/>
      <c r="J64" s="63"/>
      <c r="K64" s="191"/>
      <c r="L64" s="65"/>
      <c r="M64" s="67"/>
      <c r="N64" s="58"/>
      <c r="O64" s="168"/>
      <c r="P64" s="63"/>
      <c r="Q64" s="191"/>
      <c r="R64" s="65"/>
      <c r="S64" s="67"/>
      <c r="T64" s="58"/>
      <c r="U64" s="171"/>
      <c r="V64" s="63"/>
      <c r="W64" s="191"/>
      <c r="X64" s="65"/>
      <c r="Y64" s="67"/>
      <c r="Z64" s="58"/>
    </row>
    <row r="65" spans="1:29" s="39" customFormat="1" ht="13.8" x14ac:dyDescent="0.25">
      <c r="A65" s="89"/>
      <c r="B65" s="89"/>
      <c r="C65" s="188"/>
      <c r="D65" s="189"/>
      <c r="E65" s="188"/>
      <c r="F65" s="190"/>
      <c r="G65" s="106">
        <v>3</v>
      </c>
      <c r="H65" s="51"/>
      <c r="I65" s="168"/>
      <c r="J65" s="63"/>
      <c r="K65" s="191"/>
      <c r="L65" s="65"/>
      <c r="M65" s="67"/>
      <c r="N65" s="58"/>
      <c r="O65" s="168"/>
      <c r="P65" s="63"/>
      <c r="Q65" s="191"/>
      <c r="R65" s="65"/>
      <c r="S65" s="67"/>
      <c r="T65" s="58"/>
      <c r="U65" s="171"/>
      <c r="V65" s="63"/>
      <c r="W65" s="191"/>
      <c r="X65" s="65"/>
      <c r="Y65" s="67"/>
      <c r="Z65" s="58"/>
    </row>
    <row r="66" spans="1:29" s="39" customFormat="1" ht="13.8" x14ac:dyDescent="0.25">
      <c r="A66" s="89"/>
      <c r="B66" s="89"/>
      <c r="C66" s="188"/>
      <c r="D66" s="189"/>
      <c r="E66" s="188"/>
      <c r="F66" s="190"/>
      <c r="G66" s="106">
        <v>4</v>
      </c>
      <c r="H66" s="51"/>
      <c r="I66" s="168"/>
      <c r="J66" s="63"/>
      <c r="K66" s="191"/>
      <c r="L66" s="65"/>
      <c r="M66" s="67"/>
      <c r="N66" s="58"/>
      <c r="O66" s="168"/>
      <c r="P66" s="63"/>
      <c r="Q66" s="191"/>
      <c r="R66" s="65"/>
      <c r="S66" s="67"/>
      <c r="T66" s="58"/>
      <c r="U66" s="171"/>
      <c r="V66" s="63"/>
      <c r="W66" s="191"/>
      <c r="X66" s="65"/>
      <c r="Y66" s="67"/>
      <c r="Z66" s="58"/>
    </row>
    <row r="67" spans="1:29" s="39" customFormat="1" ht="13.8" x14ac:dyDescent="0.25">
      <c r="A67" s="89"/>
      <c r="B67" s="89"/>
      <c r="C67" s="188"/>
      <c r="D67" s="189"/>
      <c r="E67" s="188"/>
      <c r="F67" s="190"/>
      <c r="G67" s="106">
        <v>5</v>
      </c>
      <c r="H67" s="51"/>
      <c r="I67" s="168"/>
      <c r="J67" s="63"/>
      <c r="K67" s="191"/>
      <c r="L67" s="65"/>
      <c r="M67" s="67"/>
      <c r="N67" s="58"/>
      <c r="O67" s="168"/>
      <c r="P67" s="63"/>
      <c r="Q67" s="191"/>
      <c r="R67" s="65"/>
      <c r="S67" s="67"/>
      <c r="T67" s="58"/>
      <c r="U67" s="171"/>
      <c r="V67" s="63"/>
      <c r="W67" s="191"/>
      <c r="X67" s="65"/>
      <c r="Y67" s="67"/>
      <c r="Z67" s="58"/>
    </row>
    <row r="68" spans="1:29" s="39" customFormat="1" ht="13.8" x14ac:dyDescent="0.25">
      <c r="A68" s="89"/>
      <c r="B68" s="89"/>
      <c r="C68" s="188"/>
      <c r="D68" s="189"/>
      <c r="E68" s="188"/>
      <c r="F68" s="190"/>
      <c r="G68" s="106"/>
      <c r="H68" s="51"/>
      <c r="I68" s="168"/>
      <c r="J68" s="63"/>
      <c r="K68" s="191"/>
      <c r="L68" s="65"/>
      <c r="M68" s="67"/>
      <c r="N68" s="58"/>
      <c r="O68" s="168"/>
      <c r="P68" s="63"/>
      <c r="Q68" s="191"/>
      <c r="R68" s="65"/>
      <c r="S68" s="67"/>
      <c r="T68" s="58"/>
      <c r="U68" s="171"/>
      <c r="V68" s="63"/>
      <c r="W68" s="191"/>
      <c r="X68" s="65"/>
      <c r="Y68" s="67"/>
      <c r="Z68" s="58"/>
    </row>
    <row r="69" spans="1:29" s="39" customFormat="1" ht="13.8" outlineLevel="1" x14ac:dyDescent="0.25">
      <c r="A69" s="126"/>
      <c r="B69" s="126"/>
      <c r="C69" s="181"/>
      <c r="D69" s="182"/>
      <c r="E69" s="181"/>
      <c r="F69" s="183"/>
      <c r="G69" s="184" t="s">
        <v>61</v>
      </c>
      <c r="H69" s="185" t="s">
        <v>405</v>
      </c>
      <c r="I69" s="168"/>
      <c r="J69" s="62"/>
      <c r="K69" s="186"/>
      <c r="L69" s="64"/>
      <c r="M69" s="66"/>
      <c r="N69" s="59"/>
      <c r="O69" s="168"/>
      <c r="P69" s="62"/>
      <c r="Q69" s="186"/>
      <c r="R69" s="64"/>
      <c r="S69" s="66"/>
      <c r="T69" s="59"/>
      <c r="U69" s="171"/>
      <c r="V69" s="62"/>
      <c r="W69" s="186"/>
      <c r="X69" s="64"/>
      <c r="Y69" s="66"/>
      <c r="Z69" s="59"/>
      <c r="AA69" s="38"/>
      <c r="AB69" s="38"/>
      <c r="AC69" s="38"/>
    </row>
    <row r="70" spans="1:29" s="39" customFormat="1" ht="13.8" outlineLevel="1" x14ac:dyDescent="0.25">
      <c r="A70" s="89"/>
      <c r="B70" s="89"/>
      <c r="C70" s="188"/>
      <c r="D70" s="189"/>
      <c r="E70" s="188"/>
      <c r="F70" s="190"/>
      <c r="G70" s="106">
        <v>1</v>
      </c>
      <c r="H70" s="197" t="s">
        <v>409</v>
      </c>
      <c r="I70" s="168"/>
      <c r="J70" s="63"/>
      <c r="K70" s="191"/>
      <c r="L70" s="65"/>
      <c r="M70" s="67"/>
      <c r="N70" s="58"/>
      <c r="O70" s="168"/>
      <c r="P70" s="63"/>
      <c r="Q70" s="191"/>
      <c r="R70" s="65"/>
      <c r="S70" s="67"/>
      <c r="T70" s="58"/>
      <c r="U70" s="171"/>
      <c r="V70" s="63"/>
      <c r="W70" s="191"/>
      <c r="X70" s="65"/>
      <c r="Y70" s="67"/>
      <c r="Z70" s="58"/>
      <c r="AA70" s="38"/>
      <c r="AB70" s="38"/>
      <c r="AC70" s="38"/>
    </row>
    <row r="71" spans="1:29" s="39" customFormat="1" ht="13.8" outlineLevel="1" x14ac:dyDescent="0.25">
      <c r="A71" s="89"/>
      <c r="B71" s="89"/>
      <c r="C71" s="188"/>
      <c r="D71" s="189"/>
      <c r="E71" s="188"/>
      <c r="F71" s="190"/>
      <c r="G71" s="106">
        <v>2</v>
      </c>
      <c r="H71" s="51" t="s">
        <v>410</v>
      </c>
      <c r="I71" s="168"/>
      <c r="J71" s="63"/>
      <c r="K71" s="191"/>
      <c r="L71" s="65"/>
      <c r="M71" s="67"/>
      <c r="N71" s="58"/>
      <c r="O71" s="168"/>
      <c r="P71" s="63"/>
      <c r="Q71" s="191"/>
      <c r="R71" s="65"/>
      <c r="S71" s="67"/>
      <c r="T71" s="58"/>
      <c r="U71" s="171"/>
      <c r="V71" s="63"/>
      <c r="W71" s="191"/>
      <c r="X71" s="65"/>
      <c r="Y71" s="67"/>
      <c r="Z71" s="58"/>
    </row>
    <row r="72" spans="1:29" s="39" customFormat="1" ht="13.8" outlineLevel="1" x14ac:dyDescent="0.25">
      <c r="A72" s="89"/>
      <c r="B72" s="89"/>
      <c r="C72" s="188"/>
      <c r="D72" s="189"/>
      <c r="E72" s="188"/>
      <c r="F72" s="190"/>
      <c r="G72" s="106">
        <v>3</v>
      </c>
      <c r="H72" s="51" t="s">
        <v>411</v>
      </c>
      <c r="I72" s="168"/>
      <c r="J72" s="63"/>
      <c r="K72" s="191"/>
      <c r="L72" s="65"/>
      <c r="M72" s="67"/>
      <c r="N72" s="58"/>
      <c r="O72" s="168"/>
      <c r="P72" s="63"/>
      <c r="Q72" s="191"/>
      <c r="R72" s="65"/>
      <c r="S72" s="67"/>
      <c r="T72" s="58"/>
      <c r="U72" s="171"/>
      <c r="V72" s="63"/>
      <c r="W72" s="191"/>
      <c r="X72" s="65"/>
      <c r="Y72" s="67"/>
      <c r="Z72" s="58"/>
    </row>
    <row r="73" spans="1:29" s="39" customFormat="1" ht="13.8" outlineLevel="1" x14ac:dyDescent="0.25">
      <c r="A73" s="89"/>
      <c r="B73" s="89"/>
      <c r="C73" s="188"/>
      <c r="D73" s="189"/>
      <c r="E73" s="188"/>
      <c r="F73" s="190"/>
      <c r="G73" s="106">
        <v>4</v>
      </c>
      <c r="H73" s="51" t="s">
        <v>406</v>
      </c>
      <c r="I73" s="168"/>
      <c r="J73" s="63"/>
      <c r="K73" s="191"/>
      <c r="L73" s="65"/>
      <c r="M73" s="67"/>
      <c r="N73" s="58"/>
      <c r="O73" s="168"/>
      <c r="P73" s="63"/>
      <c r="Q73" s="191"/>
      <c r="R73" s="65"/>
      <c r="S73" s="67"/>
      <c r="T73" s="58"/>
      <c r="U73" s="171"/>
      <c r="V73" s="63"/>
      <c r="W73" s="191"/>
      <c r="X73" s="65"/>
      <c r="Y73" s="67"/>
      <c r="Z73" s="58"/>
    </row>
    <row r="74" spans="1:29" s="39" customFormat="1" ht="13.8" outlineLevel="1" x14ac:dyDescent="0.25">
      <c r="A74" s="89"/>
      <c r="B74" s="89"/>
      <c r="C74" s="188"/>
      <c r="D74" s="189"/>
      <c r="E74" s="188"/>
      <c r="F74" s="190"/>
      <c r="G74" s="106">
        <v>5</v>
      </c>
      <c r="H74" s="51" t="s">
        <v>408</v>
      </c>
      <c r="I74" s="168"/>
      <c r="J74" s="63"/>
      <c r="K74" s="191"/>
      <c r="L74" s="65"/>
      <c r="M74" s="67"/>
      <c r="N74" s="58"/>
      <c r="O74" s="168"/>
      <c r="P74" s="63"/>
      <c r="Q74" s="191"/>
      <c r="R74" s="65"/>
      <c r="S74" s="67"/>
      <c r="T74" s="58"/>
      <c r="U74" s="171"/>
      <c r="V74" s="63"/>
      <c r="W74" s="191"/>
      <c r="X74" s="65"/>
      <c r="Y74" s="67"/>
      <c r="Z74" s="58"/>
    </row>
    <row r="75" spans="1:29" s="39" customFormat="1" ht="13.8" outlineLevel="1" x14ac:dyDescent="0.25">
      <c r="A75" s="89"/>
      <c r="B75" s="89"/>
      <c r="C75" s="188"/>
      <c r="D75" s="189"/>
      <c r="E75" s="188"/>
      <c r="F75" s="190"/>
      <c r="G75" s="106">
        <v>6</v>
      </c>
      <c r="H75" s="51" t="s">
        <v>417</v>
      </c>
      <c r="I75" s="168"/>
      <c r="J75" s="63"/>
      <c r="K75" s="191"/>
      <c r="L75" s="65"/>
      <c r="M75" s="67"/>
      <c r="N75" s="58"/>
      <c r="O75" s="168"/>
      <c r="P75" s="63"/>
      <c r="Q75" s="191"/>
      <c r="R75" s="65"/>
      <c r="S75" s="67"/>
      <c r="T75" s="58"/>
      <c r="U75" s="171"/>
      <c r="V75" s="63"/>
      <c r="W75" s="191"/>
      <c r="X75" s="65"/>
      <c r="Y75" s="67"/>
      <c r="Z75" s="58"/>
    </row>
    <row r="76" spans="1:29" s="39" customFormat="1" ht="13.8" outlineLevel="1" x14ac:dyDescent="0.25">
      <c r="A76" s="89"/>
      <c r="B76" s="89"/>
      <c r="C76" s="188"/>
      <c r="D76" s="189"/>
      <c r="E76" s="188"/>
      <c r="F76" s="190"/>
      <c r="G76" s="106">
        <v>7</v>
      </c>
      <c r="H76" s="51" t="s">
        <v>407</v>
      </c>
      <c r="I76" s="168"/>
      <c r="J76" s="63"/>
      <c r="K76" s="191"/>
      <c r="L76" s="65"/>
      <c r="M76" s="67"/>
      <c r="N76" s="58"/>
      <c r="O76" s="168"/>
      <c r="P76" s="63"/>
      <c r="Q76" s="191"/>
      <c r="R76" s="65"/>
      <c r="S76" s="67"/>
      <c r="T76" s="58"/>
      <c r="U76" s="171"/>
      <c r="V76" s="63"/>
      <c r="W76" s="191"/>
      <c r="X76" s="65"/>
      <c r="Y76" s="67"/>
      <c r="Z76" s="58"/>
    </row>
    <row r="77" spans="1:29" s="39" customFormat="1" ht="21" outlineLevel="1" x14ac:dyDescent="0.25">
      <c r="A77" s="89"/>
      <c r="B77" s="89"/>
      <c r="C77" s="188"/>
      <c r="D77" s="189"/>
      <c r="E77" s="188"/>
      <c r="F77" s="190"/>
      <c r="G77" s="106">
        <v>8</v>
      </c>
      <c r="H77" s="51" t="s">
        <v>412</v>
      </c>
      <c r="I77" s="168"/>
      <c r="J77" s="63"/>
      <c r="K77" s="191"/>
      <c r="L77" s="65"/>
      <c r="M77" s="67"/>
      <c r="N77" s="58"/>
      <c r="O77" s="168"/>
      <c r="P77" s="63"/>
      <c r="Q77" s="191"/>
      <c r="R77" s="65"/>
      <c r="S77" s="67"/>
      <c r="T77" s="58"/>
      <c r="U77" s="171"/>
      <c r="V77" s="63"/>
      <c r="W77" s="191"/>
      <c r="X77" s="65"/>
      <c r="Y77" s="67"/>
      <c r="Z77" s="58"/>
    </row>
    <row r="78" spans="1:29" s="39" customFormat="1" ht="13.8" outlineLevel="1" x14ac:dyDescent="0.25">
      <c r="A78" s="126"/>
      <c r="B78" s="126"/>
      <c r="C78" s="181"/>
      <c r="D78" s="182"/>
      <c r="E78" s="181"/>
      <c r="F78" s="183"/>
      <c r="G78" s="184" t="s">
        <v>87</v>
      </c>
      <c r="H78" s="185" t="s">
        <v>85</v>
      </c>
      <c r="I78" s="168"/>
      <c r="J78" s="62"/>
      <c r="K78" s="186"/>
      <c r="L78" s="64"/>
      <c r="M78" s="66"/>
      <c r="N78" s="59"/>
      <c r="O78" s="168"/>
      <c r="P78" s="62"/>
      <c r="Q78" s="186"/>
      <c r="R78" s="64"/>
      <c r="S78" s="66"/>
      <c r="T78" s="59"/>
      <c r="U78" s="171"/>
      <c r="V78" s="62"/>
      <c r="W78" s="186"/>
      <c r="X78" s="64"/>
      <c r="Y78" s="66"/>
      <c r="Z78" s="59"/>
      <c r="AA78" s="38"/>
      <c r="AB78" s="38"/>
      <c r="AC78" s="38"/>
    </row>
    <row r="79" spans="1:29" s="39" customFormat="1" ht="13.8" outlineLevel="1" x14ac:dyDescent="0.25">
      <c r="A79" s="89"/>
      <c r="B79" s="89"/>
      <c r="C79" s="188"/>
      <c r="D79" s="189"/>
      <c r="E79" s="188"/>
      <c r="F79" s="190"/>
      <c r="G79" s="106">
        <v>1</v>
      </c>
      <c r="H79" s="51" t="s">
        <v>297</v>
      </c>
      <c r="I79" s="168"/>
      <c r="J79" s="63"/>
      <c r="K79" s="191"/>
      <c r="L79" s="65"/>
      <c r="M79" s="67"/>
      <c r="N79" s="58"/>
      <c r="O79" s="168"/>
      <c r="P79" s="63"/>
      <c r="Q79" s="191"/>
      <c r="R79" s="65"/>
      <c r="S79" s="67"/>
      <c r="T79" s="58"/>
      <c r="U79" s="171"/>
      <c r="V79" s="63"/>
      <c r="W79" s="191"/>
      <c r="X79" s="65"/>
      <c r="Y79" s="67"/>
      <c r="Z79" s="58"/>
      <c r="AA79" s="38"/>
      <c r="AB79" s="38"/>
      <c r="AC79" s="38"/>
    </row>
    <row r="80" spans="1:29" s="39" customFormat="1" ht="13.8" outlineLevel="1" x14ac:dyDescent="0.25">
      <c r="A80" s="89"/>
      <c r="B80" s="89"/>
      <c r="C80" s="188"/>
      <c r="D80" s="189"/>
      <c r="E80" s="188"/>
      <c r="F80" s="190"/>
      <c r="G80" s="106">
        <v>2</v>
      </c>
      <c r="H80" s="51" t="s">
        <v>331</v>
      </c>
      <c r="I80" s="168"/>
      <c r="J80" s="63"/>
      <c r="K80" s="191"/>
      <c r="L80" s="65"/>
      <c r="M80" s="67"/>
      <c r="N80" s="58"/>
      <c r="O80" s="168"/>
      <c r="P80" s="63"/>
      <c r="Q80" s="191"/>
      <c r="R80" s="65"/>
      <c r="S80" s="67"/>
      <c r="T80" s="58"/>
      <c r="U80" s="171"/>
      <c r="V80" s="63"/>
      <c r="W80" s="191"/>
      <c r="X80" s="65"/>
      <c r="Y80" s="67"/>
      <c r="Z80" s="58"/>
    </row>
    <row r="81" spans="1:26" s="39" customFormat="1" ht="13.8" outlineLevel="1" x14ac:dyDescent="0.25">
      <c r="A81" s="89"/>
      <c r="B81" s="89"/>
      <c r="C81" s="188"/>
      <c r="D81" s="189"/>
      <c r="E81" s="188"/>
      <c r="F81" s="190"/>
      <c r="G81" s="106">
        <v>3</v>
      </c>
      <c r="H81" s="51" t="s">
        <v>332</v>
      </c>
      <c r="I81" s="168"/>
      <c r="J81" s="63"/>
      <c r="K81" s="191"/>
      <c r="L81" s="65"/>
      <c r="M81" s="67"/>
      <c r="N81" s="58"/>
      <c r="O81" s="168"/>
      <c r="P81" s="63"/>
      <c r="Q81" s="191"/>
      <c r="R81" s="65"/>
      <c r="S81" s="67"/>
      <c r="T81" s="58"/>
      <c r="U81" s="171"/>
      <c r="V81" s="63"/>
      <c r="W81" s="191"/>
      <c r="X81" s="65"/>
      <c r="Y81" s="67"/>
      <c r="Z81" s="58"/>
    </row>
    <row r="82" spans="1:26" s="39" customFormat="1" ht="12" customHeight="1" outlineLevel="1" x14ac:dyDescent="0.25">
      <c r="A82" s="89"/>
      <c r="B82" s="89"/>
      <c r="C82" s="188"/>
      <c r="D82" s="189"/>
      <c r="E82" s="188"/>
      <c r="F82" s="190"/>
      <c r="G82" s="106">
        <v>4</v>
      </c>
      <c r="H82" s="51" t="s">
        <v>416</v>
      </c>
      <c r="I82" s="168"/>
      <c r="J82" s="63"/>
      <c r="K82" s="191"/>
      <c r="L82" s="65"/>
      <c r="M82" s="67"/>
      <c r="N82" s="58"/>
      <c r="O82" s="168"/>
      <c r="P82" s="63"/>
      <c r="Q82" s="191"/>
      <c r="R82" s="65"/>
      <c r="S82" s="67"/>
      <c r="T82" s="58"/>
      <c r="U82" s="171"/>
      <c r="V82" s="63"/>
      <c r="W82" s="191"/>
      <c r="X82" s="65"/>
      <c r="Y82" s="67"/>
      <c r="Z82" s="58"/>
    </row>
    <row r="83" spans="1:26" s="39" customFormat="1" ht="13.8" outlineLevel="1" x14ac:dyDescent="0.25">
      <c r="A83" s="89"/>
      <c r="B83" s="89"/>
      <c r="C83" s="188"/>
      <c r="D83" s="189"/>
      <c r="E83" s="188"/>
      <c r="F83" s="190"/>
      <c r="G83" s="106">
        <v>5</v>
      </c>
      <c r="H83" s="51" t="s">
        <v>62</v>
      </c>
      <c r="I83" s="168"/>
      <c r="J83" s="63"/>
      <c r="K83" s="191"/>
      <c r="L83" s="65"/>
      <c r="M83" s="67"/>
      <c r="N83" s="58"/>
      <c r="O83" s="168"/>
      <c r="P83" s="63"/>
      <c r="Q83" s="191"/>
      <c r="R83" s="65"/>
      <c r="S83" s="67"/>
      <c r="T83" s="58"/>
      <c r="U83" s="171"/>
      <c r="V83" s="63"/>
      <c r="W83" s="191"/>
      <c r="X83" s="65"/>
      <c r="Y83" s="67"/>
      <c r="Z83" s="58"/>
    </row>
    <row r="84" spans="1:26" s="39" customFormat="1" ht="13.8" outlineLevel="1" x14ac:dyDescent="0.25">
      <c r="A84" s="89"/>
      <c r="B84" s="89"/>
      <c r="C84" s="188"/>
      <c r="D84" s="189"/>
      <c r="E84" s="188"/>
      <c r="F84" s="190"/>
      <c r="G84" s="106">
        <v>6</v>
      </c>
      <c r="H84" s="51" t="s">
        <v>63</v>
      </c>
      <c r="I84" s="168"/>
      <c r="J84" s="63"/>
      <c r="K84" s="191"/>
      <c r="L84" s="65"/>
      <c r="M84" s="67"/>
      <c r="N84" s="58"/>
      <c r="O84" s="168"/>
      <c r="P84" s="63"/>
      <c r="Q84" s="191"/>
      <c r="R84" s="65"/>
      <c r="S84" s="67"/>
      <c r="T84" s="58"/>
      <c r="U84" s="171"/>
      <c r="V84" s="63"/>
      <c r="W84" s="191"/>
      <c r="X84" s="65"/>
      <c r="Y84" s="67"/>
      <c r="Z84" s="58"/>
    </row>
    <row r="85" spans="1:26" s="39" customFormat="1" ht="13.8" outlineLevel="1" x14ac:dyDescent="0.25">
      <c r="A85" s="89"/>
      <c r="B85" s="89"/>
      <c r="C85" s="188"/>
      <c r="D85" s="189"/>
      <c r="E85" s="188"/>
      <c r="F85" s="190"/>
      <c r="G85" s="106">
        <v>7</v>
      </c>
      <c r="H85" s="51" t="s">
        <v>64</v>
      </c>
      <c r="I85" s="168"/>
      <c r="J85" s="63"/>
      <c r="K85" s="191"/>
      <c r="L85" s="65"/>
      <c r="M85" s="67"/>
      <c r="N85" s="58"/>
      <c r="O85" s="168"/>
      <c r="P85" s="63"/>
      <c r="Q85" s="191"/>
      <c r="R85" s="65"/>
      <c r="S85" s="67"/>
      <c r="T85" s="58"/>
      <c r="U85" s="171"/>
      <c r="V85" s="63"/>
      <c r="W85" s="191"/>
      <c r="X85" s="65"/>
      <c r="Y85" s="67"/>
      <c r="Z85" s="58"/>
    </row>
    <row r="86" spans="1:26" s="39" customFormat="1" ht="13.8" outlineLevel="1" x14ac:dyDescent="0.25">
      <c r="A86" s="89"/>
      <c r="B86" s="89"/>
      <c r="C86" s="188"/>
      <c r="D86" s="189"/>
      <c r="E86" s="188"/>
      <c r="F86" s="190"/>
      <c r="G86" s="106">
        <v>8</v>
      </c>
      <c r="H86" s="51" t="s">
        <v>65</v>
      </c>
      <c r="I86" s="168"/>
      <c r="J86" s="63"/>
      <c r="K86" s="191"/>
      <c r="L86" s="65"/>
      <c r="M86" s="67"/>
      <c r="N86" s="58"/>
      <c r="O86" s="168"/>
      <c r="P86" s="63"/>
      <c r="Q86" s="191"/>
      <c r="R86" s="65"/>
      <c r="S86" s="67"/>
      <c r="T86" s="58"/>
      <c r="U86" s="171"/>
      <c r="V86" s="63"/>
      <c r="W86" s="191"/>
      <c r="X86" s="65"/>
      <c r="Y86" s="67"/>
      <c r="Z86" s="58"/>
    </row>
    <row r="87" spans="1:26" s="39" customFormat="1" ht="13.8" outlineLevel="1" x14ac:dyDescent="0.25">
      <c r="A87" s="89"/>
      <c r="B87" s="89"/>
      <c r="C87" s="188"/>
      <c r="D87" s="189"/>
      <c r="E87" s="188"/>
      <c r="F87" s="190"/>
      <c r="G87" s="106">
        <v>9</v>
      </c>
      <c r="H87" s="51" t="s">
        <v>66</v>
      </c>
      <c r="I87" s="168"/>
      <c r="J87" s="63"/>
      <c r="K87" s="191"/>
      <c r="L87" s="65"/>
      <c r="M87" s="67"/>
      <c r="N87" s="58"/>
      <c r="O87" s="168"/>
      <c r="P87" s="63"/>
      <c r="Q87" s="191"/>
      <c r="R87" s="65"/>
      <c r="S87" s="67"/>
      <c r="T87" s="58"/>
      <c r="U87" s="171"/>
      <c r="V87" s="63"/>
      <c r="W87" s="191"/>
      <c r="X87" s="65"/>
      <c r="Y87" s="67"/>
      <c r="Z87" s="58"/>
    </row>
    <row r="88" spans="1:26" s="39" customFormat="1" ht="21" outlineLevel="1" x14ac:dyDescent="0.25">
      <c r="A88" s="89"/>
      <c r="B88" s="89"/>
      <c r="C88" s="188"/>
      <c r="D88" s="189"/>
      <c r="E88" s="188"/>
      <c r="F88" s="190"/>
      <c r="G88" s="106">
        <v>10</v>
      </c>
      <c r="H88" s="51" t="s">
        <v>338</v>
      </c>
      <c r="I88" s="168"/>
      <c r="J88" s="63"/>
      <c r="K88" s="191"/>
      <c r="L88" s="65"/>
      <c r="M88" s="67"/>
      <c r="N88" s="58"/>
      <c r="O88" s="168"/>
      <c r="P88" s="63"/>
      <c r="Q88" s="191"/>
      <c r="R88" s="65"/>
      <c r="S88" s="67"/>
      <c r="T88" s="58"/>
      <c r="U88" s="171"/>
      <c r="V88" s="63"/>
      <c r="W88" s="191"/>
      <c r="X88" s="65"/>
      <c r="Y88" s="67"/>
      <c r="Z88" s="58"/>
    </row>
    <row r="89" spans="1:26" s="39" customFormat="1" ht="21" outlineLevel="1" x14ac:dyDescent="0.25">
      <c r="A89" s="89"/>
      <c r="B89" s="89"/>
      <c r="C89" s="188"/>
      <c r="D89" s="189"/>
      <c r="E89" s="188"/>
      <c r="F89" s="190"/>
      <c r="G89" s="106">
        <v>11</v>
      </c>
      <c r="H89" s="51" t="s">
        <v>339</v>
      </c>
      <c r="I89" s="168"/>
      <c r="J89" s="63"/>
      <c r="K89" s="191"/>
      <c r="L89" s="65"/>
      <c r="M89" s="67"/>
      <c r="N89" s="58"/>
      <c r="O89" s="168"/>
      <c r="P89" s="63"/>
      <c r="Q89" s="191"/>
      <c r="R89" s="65"/>
      <c r="S89" s="67"/>
      <c r="T89" s="58"/>
      <c r="U89" s="171"/>
      <c r="V89" s="63"/>
      <c r="W89" s="191"/>
      <c r="X89" s="65"/>
      <c r="Y89" s="67"/>
      <c r="Z89" s="58"/>
    </row>
    <row r="90" spans="1:26" s="39" customFormat="1" ht="13.8" outlineLevel="1" x14ac:dyDescent="0.25">
      <c r="A90" s="89"/>
      <c r="B90" s="89"/>
      <c r="C90" s="188"/>
      <c r="D90" s="189"/>
      <c r="E90" s="188"/>
      <c r="F90" s="190"/>
      <c r="G90" s="106">
        <v>12</v>
      </c>
      <c r="H90" s="51" t="s">
        <v>334</v>
      </c>
      <c r="I90" s="168"/>
      <c r="J90" s="63"/>
      <c r="K90" s="191"/>
      <c r="L90" s="65"/>
      <c r="M90" s="67"/>
      <c r="N90" s="58"/>
      <c r="O90" s="168"/>
      <c r="P90" s="63"/>
      <c r="Q90" s="191"/>
      <c r="R90" s="65"/>
      <c r="S90" s="67"/>
      <c r="T90" s="58"/>
      <c r="U90" s="171"/>
      <c r="V90" s="63"/>
      <c r="W90" s="191"/>
      <c r="X90" s="65"/>
      <c r="Y90" s="67"/>
      <c r="Z90" s="58"/>
    </row>
    <row r="91" spans="1:26" s="39" customFormat="1" ht="13.8" outlineLevel="1" x14ac:dyDescent="0.25">
      <c r="A91" s="89"/>
      <c r="B91" s="89"/>
      <c r="C91" s="188"/>
      <c r="D91" s="189"/>
      <c r="E91" s="188"/>
      <c r="F91" s="190"/>
      <c r="G91" s="106">
        <v>13</v>
      </c>
      <c r="H91" s="51" t="s">
        <v>67</v>
      </c>
      <c r="I91" s="168"/>
      <c r="J91" s="63"/>
      <c r="K91" s="191"/>
      <c r="L91" s="65"/>
      <c r="M91" s="67"/>
      <c r="N91" s="58"/>
      <c r="O91" s="168"/>
      <c r="P91" s="63"/>
      <c r="Q91" s="191"/>
      <c r="R91" s="65"/>
      <c r="S91" s="67"/>
      <c r="T91" s="58"/>
      <c r="U91" s="171"/>
      <c r="V91" s="63"/>
      <c r="W91" s="191"/>
      <c r="X91" s="65"/>
      <c r="Y91" s="67"/>
      <c r="Z91" s="58"/>
    </row>
    <row r="92" spans="1:26" s="39" customFormat="1" ht="21" outlineLevel="1" x14ac:dyDescent="0.25">
      <c r="A92" s="89"/>
      <c r="B92" s="89"/>
      <c r="C92" s="188"/>
      <c r="D92" s="189"/>
      <c r="E92" s="188"/>
      <c r="F92" s="190"/>
      <c r="G92" s="106">
        <v>14</v>
      </c>
      <c r="H92" s="51" t="s">
        <v>68</v>
      </c>
      <c r="I92" s="168"/>
      <c r="J92" s="63"/>
      <c r="K92" s="191"/>
      <c r="L92" s="65"/>
      <c r="M92" s="67"/>
      <c r="N92" s="58"/>
      <c r="O92" s="168"/>
      <c r="P92" s="63"/>
      <c r="Q92" s="191"/>
      <c r="R92" s="65"/>
      <c r="S92" s="67"/>
      <c r="T92" s="58"/>
      <c r="U92" s="171"/>
      <c r="V92" s="63"/>
      <c r="W92" s="191"/>
      <c r="X92" s="65"/>
      <c r="Y92" s="67"/>
      <c r="Z92" s="58"/>
    </row>
    <row r="93" spans="1:26" s="39" customFormat="1" ht="13.8" outlineLevel="1" x14ac:dyDescent="0.25">
      <c r="A93" s="89"/>
      <c r="B93" s="89"/>
      <c r="C93" s="188"/>
      <c r="D93" s="189"/>
      <c r="E93" s="188"/>
      <c r="F93" s="190"/>
      <c r="G93" s="106">
        <v>15</v>
      </c>
      <c r="H93" s="51" t="s">
        <v>69</v>
      </c>
      <c r="I93" s="168"/>
      <c r="J93" s="63"/>
      <c r="K93" s="191"/>
      <c r="L93" s="65"/>
      <c r="M93" s="67"/>
      <c r="N93" s="58"/>
      <c r="O93" s="168"/>
      <c r="P93" s="63"/>
      <c r="Q93" s="191"/>
      <c r="R93" s="65"/>
      <c r="S93" s="67"/>
      <c r="T93" s="58"/>
      <c r="U93" s="171"/>
      <c r="V93" s="63"/>
      <c r="W93" s="191"/>
      <c r="X93" s="65"/>
      <c r="Y93" s="67"/>
      <c r="Z93" s="58"/>
    </row>
    <row r="94" spans="1:26" s="39" customFormat="1" ht="21" outlineLevel="1" x14ac:dyDescent="0.25">
      <c r="A94" s="89"/>
      <c r="B94" s="89"/>
      <c r="C94" s="188"/>
      <c r="D94" s="189"/>
      <c r="E94" s="188"/>
      <c r="F94" s="190"/>
      <c r="G94" s="106">
        <v>16</v>
      </c>
      <c r="H94" s="51" t="s">
        <v>340</v>
      </c>
      <c r="I94" s="168"/>
      <c r="J94" s="63"/>
      <c r="K94" s="191"/>
      <c r="L94" s="65"/>
      <c r="M94" s="67"/>
      <c r="N94" s="58"/>
      <c r="O94" s="168"/>
      <c r="P94" s="63"/>
      <c r="Q94" s="191"/>
      <c r="R94" s="65"/>
      <c r="S94" s="67"/>
      <c r="T94" s="58"/>
      <c r="U94" s="171"/>
      <c r="V94" s="63"/>
      <c r="W94" s="191"/>
      <c r="X94" s="65"/>
      <c r="Y94" s="67"/>
      <c r="Z94" s="58"/>
    </row>
    <row r="95" spans="1:26" s="39" customFormat="1" ht="21" outlineLevel="1" x14ac:dyDescent="0.25">
      <c r="A95" s="89"/>
      <c r="B95" s="89"/>
      <c r="C95" s="188"/>
      <c r="D95" s="189"/>
      <c r="E95" s="188"/>
      <c r="F95" s="190"/>
      <c r="G95" s="106">
        <v>17</v>
      </c>
      <c r="H95" s="51" t="s">
        <v>70</v>
      </c>
      <c r="I95" s="168"/>
      <c r="J95" s="63"/>
      <c r="K95" s="191"/>
      <c r="L95" s="65"/>
      <c r="M95" s="67"/>
      <c r="N95" s="58"/>
      <c r="O95" s="168"/>
      <c r="P95" s="63"/>
      <c r="Q95" s="191"/>
      <c r="R95" s="65"/>
      <c r="S95" s="67"/>
      <c r="T95" s="58"/>
      <c r="U95" s="171"/>
      <c r="V95" s="63"/>
      <c r="W95" s="191"/>
      <c r="X95" s="65"/>
      <c r="Y95" s="67"/>
      <c r="Z95" s="58"/>
    </row>
    <row r="96" spans="1:26" s="39" customFormat="1" ht="13.8" outlineLevel="1" x14ac:dyDescent="0.25">
      <c r="A96" s="89"/>
      <c r="B96" s="89"/>
      <c r="C96" s="188"/>
      <c r="D96" s="189"/>
      <c r="E96" s="188"/>
      <c r="F96" s="190"/>
      <c r="G96" s="106">
        <v>18</v>
      </c>
      <c r="H96" s="51" t="s">
        <v>71</v>
      </c>
      <c r="I96" s="168"/>
      <c r="J96" s="63"/>
      <c r="K96" s="191"/>
      <c r="L96" s="65"/>
      <c r="M96" s="67"/>
      <c r="N96" s="58"/>
      <c r="O96" s="168"/>
      <c r="P96" s="63"/>
      <c r="Q96" s="191"/>
      <c r="R96" s="65"/>
      <c r="S96" s="67"/>
      <c r="T96" s="58"/>
      <c r="U96" s="171"/>
      <c r="V96" s="63"/>
      <c r="W96" s="191"/>
      <c r="X96" s="65"/>
      <c r="Y96" s="67"/>
      <c r="Z96" s="58"/>
    </row>
    <row r="97" spans="1:26" s="39" customFormat="1" ht="13.8" outlineLevel="1" x14ac:dyDescent="0.25">
      <c r="A97" s="89"/>
      <c r="B97" s="89"/>
      <c r="C97" s="188"/>
      <c r="D97" s="189"/>
      <c r="E97" s="188"/>
      <c r="F97" s="190"/>
      <c r="G97" s="106">
        <v>19</v>
      </c>
      <c r="H97" s="51" t="s">
        <v>72</v>
      </c>
      <c r="I97" s="168"/>
      <c r="J97" s="63"/>
      <c r="K97" s="191"/>
      <c r="L97" s="65"/>
      <c r="M97" s="67"/>
      <c r="N97" s="58"/>
      <c r="O97" s="168"/>
      <c r="P97" s="63"/>
      <c r="Q97" s="191"/>
      <c r="R97" s="65"/>
      <c r="S97" s="67"/>
      <c r="T97" s="58"/>
      <c r="U97" s="171"/>
      <c r="V97" s="63"/>
      <c r="W97" s="191"/>
      <c r="X97" s="65"/>
      <c r="Y97" s="67"/>
      <c r="Z97" s="58"/>
    </row>
    <row r="98" spans="1:26" s="39" customFormat="1" ht="31.2" outlineLevel="1" x14ac:dyDescent="0.25">
      <c r="A98" s="89"/>
      <c r="B98" s="89"/>
      <c r="C98" s="188"/>
      <c r="D98" s="189"/>
      <c r="E98" s="188"/>
      <c r="F98" s="190"/>
      <c r="G98" s="106">
        <v>20</v>
      </c>
      <c r="H98" s="51" t="s">
        <v>73</v>
      </c>
      <c r="I98" s="168"/>
      <c r="J98" s="63"/>
      <c r="K98" s="191"/>
      <c r="L98" s="65"/>
      <c r="M98" s="67"/>
      <c r="N98" s="58"/>
      <c r="O98" s="168"/>
      <c r="P98" s="63"/>
      <c r="Q98" s="191"/>
      <c r="R98" s="65"/>
      <c r="S98" s="67"/>
      <c r="T98" s="58"/>
      <c r="U98" s="171"/>
      <c r="V98" s="63"/>
      <c r="W98" s="191"/>
      <c r="X98" s="65"/>
      <c r="Y98" s="67"/>
      <c r="Z98" s="58"/>
    </row>
    <row r="99" spans="1:26" s="39" customFormat="1" ht="21" outlineLevel="1" x14ac:dyDescent="0.25">
      <c r="A99" s="89"/>
      <c r="B99" s="89"/>
      <c r="C99" s="188"/>
      <c r="D99" s="189"/>
      <c r="E99" s="188"/>
      <c r="F99" s="190"/>
      <c r="G99" s="106">
        <v>21</v>
      </c>
      <c r="H99" s="51" t="s">
        <v>341</v>
      </c>
      <c r="I99" s="168"/>
      <c r="J99" s="63"/>
      <c r="K99" s="191"/>
      <c r="L99" s="65"/>
      <c r="M99" s="67"/>
      <c r="N99" s="58"/>
      <c r="O99" s="168"/>
      <c r="P99" s="63"/>
      <c r="Q99" s="191"/>
      <c r="R99" s="65"/>
      <c r="S99" s="67"/>
      <c r="T99" s="58"/>
      <c r="U99" s="171"/>
      <c r="V99" s="63"/>
      <c r="W99" s="191"/>
      <c r="X99" s="65"/>
      <c r="Y99" s="67"/>
      <c r="Z99" s="58"/>
    </row>
    <row r="100" spans="1:26" s="39" customFormat="1" ht="21" outlineLevel="1" x14ac:dyDescent="0.25">
      <c r="A100" s="89"/>
      <c r="B100" s="89"/>
      <c r="C100" s="188"/>
      <c r="D100" s="189"/>
      <c r="E100" s="188"/>
      <c r="F100" s="190"/>
      <c r="G100" s="106">
        <v>22</v>
      </c>
      <c r="H100" s="51" t="s">
        <v>342</v>
      </c>
      <c r="I100" s="168"/>
      <c r="J100" s="63"/>
      <c r="K100" s="191"/>
      <c r="L100" s="65"/>
      <c r="M100" s="67"/>
      <c r="N100" s="58"/>
      <c r="O100" s="168"/>
      <c r="P100" s="63"/>
      <c r="Q100" s="191"/>
      <c r="R100" s="65"/>
      <c r="S100" s="67"/>
      <c r="T100" s="58"/>
      <c r="U100" s="171"/>
      <c r="V100" s="63"/>
      <c r="W100" s="191"/>
      <c r="X100" s="65"/>
      <c r="Y100" s="67"/>
      <c r="Z100" s="58"/>
    </row>
    <row r="101" spans="1:26" s="39" customFormat="1" ht="13.8" outlineLevel="1" x14ac:dyDescent="0.25">
      <c r="A101" s="89"/>
      <c r="B101" s="89"/>
      <c r="C101" s="188"/>
      <c r="D101" s="189"/>
      <c r="E101" s="188"/>
      <c r="F101" s="190"/>
      <c r="G101" s="106">
        <v>23</v>
      </c>
      <c r="H101" s="51" t="s">
        <v>343</v>
      </c>
      <c r="I101" s="168"/>
      <c r="J101" s="63"/>
      <c r="K101" s="191"/>
      <c r="L101" s="65"/>
      <c r="M101" s="67"/>
      <c r="N101" s="58"/>
      <c r="O101" s="168"/>
      <c r="P101" s="63"/>
      <c r="Q101" s="191"/>
      <c r="R101" s="65"/>
      <c r="S101" s="67"/>
      <c r="T101" s="58"/>
      <c r="U101" s="171"/>
      <c r="V101" s="63"/>
      <c r="W101" s="191"/>
      <c r="X101" s="65"/>
      <c r="Y101" s="67"/>
      <c r="Z101" s="58"/>
    </row>
    <row r="102" spans="1:26" s="39" customFormat="1" ht="13.8" outlineLevel="1" x14ac:dyDescent="0.25">
      <c r="A102" s="89"/>
      <c r="B102" s="89"/>
      <c r="C102" s="188"/>
      <c r="D102" s="189"/>
      <c r="E102" s="188"/>
      <c r="F102" s="190"/>
      <c r="G102" s="106">
        <v>24</v>
      </c>
      <c r="H102" s="51" t="s">
        <v>74</v>
      </c>
      <c r="I102" s="168"/>
      <c r="J102" s="63"/>
      <c r="K102" s="191"/>
      <c r="L102" s="65"/>
      <c r="M102" s="67"/>
      <c r="N102" s="58"/>
      <c r="O102" s="168"/>
      <c r="P102" s="63"/>
      <c r="Q102" s="191"/>
      <c r="R102" s="65"/>
      <c r="S102" s="67"/>
      <c r="T102" s="58"/>
      <c r="U102" s="171"/>
      <c r="V102" s="63"/>
      <c r="W102" s="191"/>
      <c r="X102" s="65"/>
      <c r="Y102" s="67"/>
      <c r="Z102" s="58"/>
    </row>
    <row r="103" spans="1:26" s="39" customFormat="1" ht="13.8" outlineLevel="1" x14ac:dyDescent="0.25">
      <c r="A103" s="89"/>
      <c r="B103" s="89"/>
      <c r="C103" s="188"/>
      <c r="D103" s="189"/>
      <c r="E103" s="188"/>
      <c r="F103" s="190"/>
      <c r="G103" s="106">
        <v>25</v>
      </c>
      <c r="H103" s="51" t="s">
        <v>75</v>
      </c>
      <c r="I103" s="168"/>
      <c r="J103" s="63"/>
      <c r="K103" s="191"/>
      <c r="L103" s="65"/>
      <c r="M103" s="67"/>
      <c r="N103" s="58"/>
      <c r="O103" s="168"/>
      <c r="P103" s="63"/>
      <c r="Q103" s="191"/>
      <c r="R103" s="65"/>
      <c r="S103" s="67"/>
      <c r="T103" s="58"/>
      <c r="U103" s="171"/>
      <c r="V103" s="63"/>
      <c r="W103" s="191"/>
      <c r="X103" s="65"/>
      <c r="Y103" s="67"/>
      <c r="Z103" s="58"/>
    </row>
    <row r="104" spans="1:26" s="39" customFormat="1" ht="13.8" outlineLevel="1" x14ac:dyDescent="0.25">
      <c r="A104" s="89"/>
      <c r="B104" s="89"/>
      <c r="C104" s="188"/>
      <c r="D104" s="189"/>
      <c r="E104" s="188"/>
      <c r="F104" s="190"/>
      <c r="G104" s="106">
        <v>26</v>
      </c>
      <c r="H104" s="51" t="s">
        <v>76</v>
      </c>
      <c r="I104" s="168"/>
      <c r="J104" s="63"/>
      <c r="K104" s="191"/>
      <c r="L104" s="65"/>
      <c r="M104" s="67"/>
      <c r="N104" s="58"/>
      <c r="O104" s="168"/>
      <c r="P104" s="63"/>
      <c r="Q104" s="191"/>
      <c r="R104" s="65"/>
      <c r="S104" s="67"/>
      <c r="T104" s="58"/>
      <c r="U104" s="171"/>
      <c r="V104" s="63"/>
      <c r="W104" s="191"/>
      <c r="X104" s="65"/>
      <c r="Y104" s="67"/>
      <c r="Z104" s="58"/>
    </row>
    <row r="105" spans="1:26" s="39" customFormat="1" ht="13.8" outlineLevel="1" x14ac:dyDescent="0.25">
      <c r="A105" s="89"/>
      <c r="B105" s="89"/>
      <c r="C105" s="188"/>
      <c r="D105" s="189"/>
      <c r="E105" s="188"/>
      <c r="F105" s="190"/>
      <c r="G105" s="106">
        <v>27</v>
      </c>
      <c r="H105" s="51" t="s">
        <v>77</v>
      </c>
      <c r="I105" s="168"/>
      <c r="J105" s="63"/>
      <c r="K105" s="191"/>
      <c r="L105" s="65"/>
      <c r="M105" s="67"/>
      <c r="N105" s="58"/>
      <c r="O105" s="168"/>
      <c r="P105" s="63"/>
      <c r="Q105" s="191"/>
      <c r="R105" s="65"/>
      <c r="S105" s="67"/>
      <c r="T105" s="58"/>
      <c r="U105" s="171"/>
      <c r="V105" s="63"/>
      <c r="W105" s="191"/>
      <c r="X105" s="65"/>
      <c r="Y105" s="67"/>
      <c r="Z105" s="58"/>
    </row>
    <row r="106" spans="1:26" s="39" customFormat="1" ht="13.8" outlineLevel="1" x14ac:dyDescent="0.25">
      <c r="A106" s="89"/>
      <c r="B106" s="89"/>
      <c r="C106" s="188"/>
      <c r="D106" s="189"/>
      <c r="E106" s="188"/>
      <c r="F106" s="190"/>
      <c r="G106" s="106">
        <v>28</v>
      </c>
      <c r="H106" s="51" t="s">
        <v>78</v>
      </c>
      <c r="I106" s="168"/>
      <c r="J106" s="63"/>
      <c r="K106" s="191"/>
      <c r="L106" s="65"/>
      <c r="M106" s="67"/>
      <c r="N106" s="58"/>
      <c r="O106" s="168"/>
      <c r="P106" s="63"/>
      <c r="Q106" s="191"/>
      <c r="R106" s="65"/>
      <c r="S106" s="67"/>
      <c r="T106" s="58"/>
      <c r="U106" s="171"/>
      <c r="V106" s="63"/>
      <c r="W106" s="191"/>
      <c r="X106" s="65"/>
      <c r="Y106" s="67"/>
      <c r="Z106" s="58"/>
    </row>
    <row r="107" spans="1:26" s="39" customFormat="1" ht="13.8" outlineLevel="1" x14ac:dyDescent="0.25">
      <c r="A107" s="89"/>
      <c r="B107" s="89"/>
      <c r="C107" s="188"/>
      <c r="D107" s="189"/>
      <c r="E107" s="188"/>
      <c r="F107" s="190"/>
      <c r="G107" s="106">
        <v>29</v>
      </c>
      <c r="H107" s="51" t="s">
        <v>79</v>
      </c>
      <c r="I107" s="168"/>
      <c r="J107" s="63"/>
      <c r="K107" s="191"/>
      <c r="L107" s="65"/>
      <c r="M107" s="67"/>
      <c r="N107" s="58"/>
      <c r="O107" s="168"/>
      <c r="P107" s="63"/>
      <c r="Q107" s="191"/>
      <c r="R107" s="65"/>
      <c r="S107" s="67"/>
      <c r="T107" s="58"/>
      <c r="U107" s="171"/>
      <c r="V107" s="63"/>
      <c r="W107" s="191"/>
      <c r="X107" s="65"/>
      <c r="Y107" s="67"/>
      <c r="Z107" s="58"/>
    </row>
    <row r="108" spans="1:26" s="39" customFormat="1" ht="21" outlineLevel="1" x14ac:dyDescent="0.25">
      <c r="A108" s="89"/>
      <c r="B108" s="89"/>
      <c r="C108" s="188"/>
      <c r="D108" s="189"/>
      <c r="E108" s="188"/>
      <c r="F108" s="190"/>
      <c r="G108" s="106">
        <v>30</v>
      </c>
      <c r="H108" s="51" t="s">
        <v>335</v>
      </c>
      <c r="I108" s="168"/>
      <c r="J108" s="63"/>
      <c r="K108" s="191"/>
      <c r="L108" s="65"/>
      <c r="M108" s="67"/>
      <c r="N108" s="58"/>
      <c r="O108" s="168"/>
      <c r="P108" s="63"/>
      <c r="Q108" s="191"/>
      <c r="R108" s="65"/>
      <c r="S108" s="67"/>
      <c r="T108" s="58"/>
      <c r="U108" s="171"/>
      <c r="V108" s="63"/>
      <c r="W108" s="191"/>
      <c r="X108" s="65"/>
      <c r="Y108" s="67"/>
      <c r="Z108" s="58"/>
    </row>
    <row r="109" spans="1:26" s="39" customFormat="1" ht="13.8" outlineLevel="1" x14ac:dyDescent="0.25">
      <c r="A109" s="89"/>
      <c r="B109" s="89"/>
      <c r="C109" s="188"/>
      <c r="D109" s="189"/>
      <c r="E109" s="188"/>
      <c r="F109" s="190"/>
      <c r="G109" s="106">
        <v>31</v>
      </c>
      <c r="H109" s="51" t="s">
        <v>80</v>
      </c>
      <c r="I109" s="168"/>
      <c r="J109" s="63"/>
      <c r="K109" s="191"/>
      <c r="L109" s="65"/>
      <c r="M109" s="67"/>
      <c r="N109" s="58"/>
      <c r="O109" s="168"/>
      <c r="P109" s="63"/>
      <c r="Q109" s="191"/>
      <c r="R109" s="65"/>
      <c r="S109" s="67"/>
      <c r="T109" s="58"/>
      <c r="U109" s="171"/>
      <c r="V109" s="63"/>
      <c r="W109" s="191"/>
      <c r="X109" s="65"/>
      <c r="Y109" s="67"/>
      <c r="Z109" s="58"/>
    </row>
    <row r="110" spans="1:26" s="39" customFormat="1" ht="13.8" outlineLevel="1" x14ac:dyDescent="0.25">
      <c r="A110" s="89"/>
      <c r="B110" s="89"/>
      <c r="C110" s="188"/>
      <c r="D110" s="189"/>
      <c r="E110" s="188"/>
      <c r="F110" s="190"/>
      <c r="G110" s="106">
        <v>32</v>
      </c>
      <c r="H110" s="51" t="s">
        <v>344</v>
      </c>
      <c r="I110" s="168"/>
      <c r="J110" s="63"/>
      <c r="K110" s="191"/>
      <c r="L110" s="65"/>
      <c r="M110" s="67"/>
      <c r="N110" s="58"/>
      <c r="O110" s="168"/>
      <c r="P110" s="63"/>
      <c r="Q110" s="191"/>
      <c r="R110" s="65"/>
      <c r="S110" s="67"/>
      <c r="T110" s="58"/>
      <c r="U110" s="171"/>
      <c r="V110" s="63"/>
      <c r="W110" s="191"/>
      <c r="X110" s="65"/>
      <c r="Y110" s="67"/>
      <c r="Z110" s="58"/>
    </row>
    <row r="111" spans="1:26" s="39" customFormat="1" ht="13.8" outlineLevel="1" x14ac:dyDescent="0.25">
      <c r="A111" s="89"/>
      <c r="B111" s="89"/>
      <c r="C111" s="188"/>
      <c r="D111" s="189"/>
      <c r="E111" s="188"/>
      <c r="F111" s="190"/>
      <c r="G111" s="106">
        <v>33</v>
      </c>
      <c r="H111" s="51" t="s">
        <v>81</v>
      </c>
      <c r="I111" s="168"/>
      <c r="J111" s="63"/>
      <c r="K111" s="191"/>
      <c r="L111" s="65"/>
      <c r="M111" s="67"/>
      <c r="N111" s="58"/>
      <c r="O111" s="168"/>
      <c r="P111" s="63"/>
      <c r="Q111" s="191"/>
      <c r="R111" s="65"/>
      <c r="S111" s="67"/>
      <c r="T111" s="58"/>
      <c r="U111" s="171"/>
      <c r="V111" s="63"/>
      <c r="W111" s="191"/>
      <c r="X111" s="65"/>
      <c r="Y111" s="67"/>
      <c r="Z111" s="58"/>
    </row>
    <row r="112" spans="1:26" s="39" customFormat="1" ht="21" outlineLevel="1" x14ac:dyDescent="0.25">
      <c r="A112" s="89"/>
      <c r="B112" s="89"/>
      <c r="C112" s="188"/>
      <c r="D112" s="189"/>
      <c r="E112" s="188"/>
      <c r="F112" s="190"/>
      <c r="G112" s="106">
        <v>34</v>
      </c>
      <c r="H112" s="51" t="s">
        <v>82</v>
      </c>
      <c r="I112" s="168"/>
      <c r="J112" s="63"/>
      <c r="K112" s="191"/>
      <c r="L112" s="65"/>
      <c r="M112" s="67"/>
      <c r="N112" s="58"/>
      <c r="O112" s="168"/>
      <c r="P112" s="63"/>
      <c r="Q112" s="191"/>
      <c r="R112" s="65"/>
      <c r="S112" s="67"/>
      <c r="T112" s="58"/>
      <c r="U112" s="171"/>
      <c r="V112" s="63"/>
      <c r="W112" s="191"/>
      <c r="X112" s="65"/>
      <c r="Y112" s="67"/>
      <c r="Z112" s="58"/>
    </row>
    <row r="113" spans="1:29" s="39" customFormat="1" ht="13.8" outlineLevel="1" x14ac:dyDescent="0.25">
      <c r="A113" s="89"/>
      <c r="B113" s="89"/>
      <c r="C113" s="188"/>
      <c r="D113" s="189"/>
      <c r="E113" s="188"/>
      <c r="F113" s="190"/>
      <c r="G113" s="106">
        <v>35</v>
      </c>
      <c r="H113" s="51" t="s">
        <v>83</v>
      </c>
      <c r="I113" s="168"/>
      <c r="J113" s="63"/>
      <c r="K113" s="191"/>
      <c r="L113" s="65"/>
      <c r="M113" s="67"/>
      <c r="N113" s="58"/>
      <c r="O113" s="168"/>
      <c r="P113" s="63"/>
      <c r="Q113" s="191"/>
      <c r="R113" s="65"/>
      <c r="S113" s="67"/>
      <c r="T113" s="58"/>
      <c r="U113" s="171"/>
      <c r="V113" s="63"/>
      <c r="W113" s="191"/>
      <c r="X113" s="65"/>
      <c r="Y113" s="67"/>
      <c r="Z113" s="58"/>
    </row>
    <row r="114" spans="1:29" s="39" customFormat="1" ht="13.8" outlineLevel="1" x14ac:dyDescent="0.25">
      <c r="A114" s="89"/>
      <c r="B114" s="89"/>
      <c r="C114" s="188"/>
      <c r="D114" s="189"/>
      <c r="E114" s="188"/>
      <c r="F114" s="190"/>
      <c r="G114" s="106">
        <v>36</v>
      </c>
      <c r="H114" s="51" t="s">
        <v>84</v>
      </c>
      <c r="I114" s="168"/>
      <c r="J114" s="63"/>
      <c r="K114" s="191"/>
      <c r="L114" s="65"/>
      <c r="M114" s="67"/>
      <c r="N114" s="58"/>
      <c r="O114" s="168"/>
      <c r="P114" s="63"/>
      <c r="Q114" s="191"/>
      <c r="R114" s="65"/>
      <c r="S114" s="67"/>
      <c r="T114" s="58"/>
      <c r="U114" s="171"/>
      <c r="V114" s="63"/>
      <c r="W114" s="191"/>
      <c r="X114" s="65"/>
      <c r="Y114" s="67"/>
      <c r="Z114" s="58"/>
    </row>
    <row r="115" spans="1:29" s="39" customFormat="1" ht="21" outlineLevel="1" x14ac:dyDescent="0.25">
      <c r="A115" s="89"/>
      <c r="B115" s="89"/>
      <c r="C115" s="188"/>
      <c r="D115" s="189"/>
      <c r="E115" s="188"/>
      <c r="F115" s="190"/>
      <c r="G115" s="106">
        <v>37</v>
      </c>
      <c r="H115" s="51" t="s">
        <v>378</v>
      </c>
      <c r="I115" s="168"/>
      <c r="J115" s="63"/>
      <c r="K115" s="191"/>
      <c r="L115" s="65"/>
      <c r="M115" s="67"/>
      <c r="N115" s="58"/>
      <c r="O115" s="168"/>
      <c r="P115" s="63"/>
      <c r="Q115" s="191"/>
      <c r="R115" s="65"/>
      <c r="S115" s="67"/>
      <c r="T115" s="58"/>
      <c r="U115" s="171"/>
      <c r="V115" s="63"/>
      <c r="W115" s="191"/>
      <c r="X115" s="65"/>
      <c r="Y115" s="67"/>
      <c r="Z115" s="58"/>
    </row>
    <row r="116" spans="1:29" s="39" customFormat="1" ht="13.8" outlineLevel="1" x14ac:dyDescent="0.25">
      <c r="A116" s="89"/>
      <c r="B116" s="89"/>
      <c r="C116" s="188"/>
      <c r="D116" s="189"/>
      <c r="E116" s="188"/>
      <c r="F116" s="190"/>
      <c r="G116" s="106">
        <v>38</v>
      </c>
      <c r="H116" s="51" t="s">
        <v>413</v>
      </c>
      <c r="I116" s="168"/>
      <c r="J116" s="63"/>
      <c r="K116" s="191"/>
      <c r="L116" s="65"/>
      <c r="M116" s="67"/>
      <c r="N116" s="58"/>
      <c r="O116" s="168"/>
      <c r="P116" s="63"/>
      <c r="Q116" s="191"/>
      <c r="R116" s="65"/>
      <c r="S116" s="67"/>
      <c r="T116" s="58"/>
      <c r="U116" s="171"/>
      <c r="V116" s="63"/>
      <c r="W116" s="191"/>
      <c r="X116" s="65"/>
      <c r="Y116" s="67"/>
      <c r="Z116" s="58"/>
    </row>
    <row r="117" spans="1:29" s="39" customFormat="1" ht="21" outlineLevel="1" x14ac:dyDescent="0.25">
      <c r="A117" s="89"/>
      <c r="B117" s="89"/>
      <c r="C117" s="188"/>
      <c r="D117" s="189"/>
      <c r="E117" s="188"/>
      <c r="F117" s="190"/>
      <c r="G117" s="106">
        <v>39</v>
      </c>
      <c r="H117" s="51" t="s">
        <v>414</v>
      </c>
      <c r="I117" s="168"/>
      <c r="J117" s="63"/>
      <c r="K117" s="191"/>
      <c r="L117" s="65"/>
      <c r="M117" s="67"/>
      <c r="N117" s="58"/>
      <c r="O117" s="168"/>
      <c r="P117" s="63"/>
      <c r="Q117" s="191"/>
      <c r="R117" s="65"/>
      <c r="S117" s="67"/>
      <c r="T117" s="58"/>
      <c r="U117" s="171"/>
      <c r="V117" s="63"/>
      <c r="W117" s="191"/>
      <c r="X117" s="65"/>
      <c r="Y117" s="67"/>
      <c r="Z117" s="58"/>
    </row>
    <row r="118" spans="1:29" s="39" customFormat="1" ht="13.8" outlineLevel="1" x14ac:dyDescent="0.25">
      <c r="A118" s="89"/>
      <c r="B118" s="89"/>
      <c r="C118" s="188"/>
      <c r="D118" s="189"/>
      <c r="E118" s="188"/>
      <c r="F118" s="190"/>
      <c r="G118" s="106">
        <v>40</v>
      </c>
      <c r="H118" s="51" t="s">
        <v>415</v>
      </c>
      <c r="I118" s="168"/>
      <c r="J118" s="63"/>
      <c r="K118" s="191"/>
      <c r="L118" s="65"/>
      <c r="M118" s="67"/>
      <c r="N118" s="58"/>
      <c r="O118" s="168"/>
      <c r="P118" s="63"/>
      <c r="Q118" s="191"/>
      <c r="R118" s="65"/>
      <c r="S118" s="67"/>
      <c r="T118" s="58"/>
      <c r="U118" s="171"/>
      <c r="V118" s="63"/>
      <c r="W118" s="191"/>
      <c r="X118" s="65"/>
      <c r="Y118" s="67"/>
      <c r="Z118" s="58"/>
    </row>
    <row r="119" spans="1:29" s="39" customFormat="1" ht="13.8" outlineLevel="1" x14ac:dyDescent="0.25">
      <c r="A119" s="89"/>
      <c r="B119" s="89"/>
      <c r="C119" s="188"/>
      <c r="D119" s="189"/>
      <c r="E119" s="188"/>
      <c r="F119" s="190"/>
      <c r="G119" s="106"/>
      <c r="H119" s="51" t="s">
        <v>95</v>
      </c>
      <c r="I119" s="168"/>
      <c r="J119" s="63"/>
      <c r="K119" s="191"/>
      <c r="L119" s="65"/>
      <c r="M119" s="67"/>
      <c r="N119" s="58"/>
      <c r="O119" s="168"/>
      <c r="P119" s="63"/>
      <c r="Q119" s="191"/>
      <c r="R119" s="65"/>
      <c r="S119" s="67"/>
      <c r="T119" s="58"/>
      <c r="U119" s="171"/>
      <c r="V119" s="63"/>
      <c r="W119" s="191"/>
      <c r="X119" s="65"/>
      <c r="Y119" s="67"/>
      <c r="Z119" s="58"/>
    </row>
    <row r="120" spans="1:29" s="39" customFormat="1" ht="13.8" outlineLevel="1" x14ac:dyDescent="0.25">
      <c r="A120" s="89"/>
      <c r="B120" s="89"/>
      <c r="C120" s="188"/>
      <c r="D120" s="189"/>
      <c r="E120" s="188"/>
      <c r="F120" s="190"/>
      <c r="G120" s="184" t="s">
        <v>93</v>
      </c>
      <c r="H120" s="185" t="s">
        <v>94</v>
      </c>
      <c r="I120" s="168"/>
      <c r="J120" s="62"/>
      <c r="K120" s="186"/>
      <c r="L120" s="64"/>
      <c r="M120" s="66"/>
      <c r="N120" s="59"/>
      <c r="O120" s="168"/>
      <c r="P120" s="62"/>
      <c r="Q120" s="186"/>
      <c r="R120" s="64"/>
      <c r="S120" s="66"/>
      <c r="T120" s="59"/>
      <c r="U120" s="171"/>
      <c r="V120" s="62"/>
      <c r="W120" s="186"/>
      <c r="X120" s="64"/>
      <c r="Y120" s="66"/>
      <c r="Z120" s="59"/>
      <c r="AA120" s="38"/>
      <c r="AB120" s="38"/>
      <c r="AC120" s="38"/>
    </row>
    <row r="121" spans="1:29" s="39" customFormat="1" ht="13.8" outlineLevel="1" x14ac:dyDescent="0.25">
      <c r="A121" s="89"/>
      <c r="B121" s="89"/>
      <c r="C121" s="188"/>
      <c r="D121" s="189"/>
      <c r="E121" s="188"/>
      <c r="F121" s="190"/>
      <c r="G121" s="106">
        <v>1</v>
      </c>
      <c r="H121" s="197" t="s">
        <v>382</v>
      </c>
      <c r="I121" s="168"/>
      <c r="J121" s="63"/>
      <c r="K121" s="191"/>
      <c r="L121" s="65"/>
      <c r="M121" s="67"/>
      <c r="N121" s="58"/>
      <c r="O121" s="168"/>
      <c r="P121" s="63"/>
      <c r="Q121" s="191"/>
      <c r="R121" s="65"/>
      <c r="S121" s="67"/>
      <c r="T121" s="58"/>
      <c r="U121" s="171"/>
      <c r="V121" s="63"/>
      <c r="W121" s="191"/>
      <c r="X121" s="65"/>
      <c r="Y121" s="67"/>
      <c r="Z121" s="58"/>
      <c r="AA121" s="38"/>
      <c r="AB121" s="38"/>
      <c r="AC121" s="38"/>
    </row>
    <row r="122" spans="1:29" s="39" customFormat="1" ht="13.8" outlineLevel="1" x14ac:dyDescent="0.25">
      <c r="A122" s="89"/>
      <c r="B122" s="89"/>
      <c r="C122" s="188"/>
      <c r="D122" s="189"/>
      <c r="E122" s="188"/>
      <c r="F122" s="190"/>
      <c r="G122" s="106">
        <v>2</v>
      </c>
      <c r="H122" s="197" t="s">
        <v>383</v>
      </c>
      <c r="I122" s="168"/>
      <c r="J122" s="63"/>
      <c r="K122" s="191"/>
      <c r="L122" s="65"/>
      <c r="M122" s="67"/>
      <c r="N122" s="58"/>
      <c r="O122" s="168"/>
      <c r="P122" s="63"/>
      <c r="Q122" s="191"/>
      <c r="R122" s="65"/>
      <c r="S122" s="67"/>
      <c r="T122" s="58"/>
      <c r="U122" s="171"/>
      <c r="V122" s="63"/>
      <c r="W122" s="191"/>
      <c r="X122" s="65"/>
      <c r="Y122" s="67"/>
      <c r="Z122" s="58"/>
    </row>
    <row r="123" spans="1:29" s="39" customFormat="1" ht="13.8" outlineLevel="1" x14ac:dyDescent="0.25">
      <c r="A123" s="89"/>
      <c r="B123" s="89"/>
      <c r="C123" s="188"/>
      <c r="D123" s="189"/>
      <c r="E123" s="188"/>
      <c r="F123" s="190"/>
      <c r="G123" s="106">
        <v>3</v>
      </c>
      <c r="H123" s="197" t="s">
        <v>392</v>
      </c>
      <c r="I123" s="168"/>
      <c r="J123" s="63"/>
      <c r="K123" s="191"/>
      <c r="L123" s="65"/>
      <c r="M123" s="67"/>
      <c r="N123" s="58"/>
      <c r="O123" s="168"/>
      <c r="P123" s="63"/>
      <c r="Q123" s="191"/>
      <c r="R123" s="65"/>
      <c r="S123" s="67"/>
      <c r="T123" s="58"/>
      <c r="U123" s="171"/>
      <c r="V123" s="63"/>
      <c r="W123" s="191"/>
      <c r="X123" s="65"/>
      <c r="Y123" s="67"/>
      <c r="Z123" s="58"/>
    </row>
    <row r="124" spans="1:29" s="39" customFormat="1" ht="13.8" outlineLevel="1" x14ac:dyDescent="0.25">
      <c r="A124" s="89"/>
      <c r="B124" s="89"/>
      <c r="C124" s="188"/>
      <c r="D124" s="189"/>
      <c r="E124" s="188"/>
      <c r="F124" s="190"/>
      <c r="G124" s="106">
        <v>4</v>
      </c>
      <c r="H124" s="197" t="s">
        <v>384</v>
      </c>
      <c r="I124" s="168"/>
      <c r="J124" s="63"/>
      <c r="K124" s="191"/>
      <c r="L124" s="65"/>
      <c r="M124" s="67"/>
      <c r="N124" s="58"/>
      <c r="O124" s="168"/>
      <c r="P124" s="63"/>
      <c r="Q124" s="191"/>
      <c r="R124" s="65"/>
      <c r="S124" s="67"/>
      <c r="T124" s="58"/>
      <c r="U124" s="171"/>
      <c r="V124" s="63"/>
      <c r="W124" s="191"/>
      <c r="X124" s="65"/>
      <c r="Y124" s="67"/>
      <c r="Z124" s="58"/>
    </row>
    <row r="125" spans="1:29" s="39" customFormat="1" ht="13.8" outlineLevel="1" x14ac:dyDescent="0.25">
      <c r="A125" s="89"/>
      <c r="B125" s="89"/>
      <c r="C125" s="188"/>
      <c r="D125" s="189"/>
      <c r="E125" s="188"/>
      <c r="F125" s="190"/>
      <c r="G125" s="106"/>
      <c r="H125" s="51" t="s">
        <v>95</v>
      </c>
      <c r="I125" s="168"/>
      <c r="J125" s="63"/>
      <c r="K125" s="191"/>
      <c r="L125" s="65"/>
      <c r="M125" s="67"/>
      <c r="N125" s="58"/>
      <c r="O125" s="168"/>
      <c r="P125" s="63"/>
      <c r="Q125" s="191"/>
      <c r="R125" s="65"/>
      <c r="S125" s="67"/>
      <c r="T125" s="58"/>
      <c r="U125" s="171"/>
      <c r="V125" s="63"/>
      <c r="W125" s="191"/>
      <c r="X125" s="65"/>
      <c r="Y125" s="67"/>
      <c r="Z125" s="58"/>
    </row>
    <row r="126" spans="1:29" s="39" customFormat="1" ht="13.8" outlineLevel="1" x14ac:dyDescent="0.25">
      <c r="A126" s="89"/>
      <c r="B126" s="89"/>
      <c r="C126" s="188"/>
      <c r="D126" s="189"/>
      <c r="E126" s="188"/>
      <c r="F126" s="190"/>
      <c r="G126" s="184" t="s">
        <v>96</v>
      </c>
      <c r="H126" s="185" t="s">
        <v>88</v>
      </c>
      <c r="I126" s="168"/>
      <c r="J126" s="62"/>
      <c r="K126" s="186"/>
      <c r="L126" s="64"/>
      <c r="M126" s="66"/>
      <c r="N126" s="59"/>
      <c r="O126" s="168"/>
      <c r="P126" s="62"/>
      <c r="Q126" s="186"/>
      <c r="R126" s="64"/>
      <c r="S126" s="66"/>
      <c r="T126" s="59"/>
      <c r="U126" s="171"/>
      <c r="V126" s="62"/>
      <c r="W126" s="186"/>
      <c r="X126" s="64"/>
      <c r="Y126" s="66"/>
      <c r="Z126" s="59"/>
      <c r="AA126" s="38"/>
      <c r="AB126" s="38"/>
      <c r="AC126" s="38"/>
    </row>
    <row r="127" spans="1:29" s="39" customFormat="1" ht="13.8" outlineLevel="1" x14ac:dyDescent="0.25">
      <c r="A127" s="89"/>
      <c r="B127" s="89"/>
      <c r="C127" s="188"/>
      <c r="D127" s="189"/>
      <c r="E127" s="188"/>
      <c r="F127" s="190"/>
      <c r="G127" s="106">
        <v>1</v>
      </c>
      <c r="H127" s="197" t="s">
        <v>89</v>
      </c>
      <c r="I127" s="168"/>
      <c r="J127" s="63"/>
      <c r="K127" s="191"/>
      <c r="L127" s="65"/>
      <c r="M127" s="67"/>
      <c r="N127" s="58"/>
      <c r="O127" s="168"/>
      <c r="P127" s="63"/>
      <c r="Q127" s="191"/>
      <c r="R127" s="65"/>
      <c r="S127" s="67"/>
      <c r="T127" s="58"/>
      <c r="U127" s="171"/>
      <c r="V127" s="63"/>
      <c r="W127" s="191"/>
      <c r="X127" s="65"/>
      <c r="Y127" s="67"/>
      <c r="Z127" s="58"/>
      <c r="AA127" s="38"/>
      <c r="AB127" s="38"/>
      <c r="AC127" s="38"/>
    </row>
    <row r="128" spans="1:29" s="39" customFormat="1" ht="13.8" outlineLevel="1" x14ac:dyDescent="0.25">
      <c r="A128" s="89"/>
      <c r="B128" s="89"/>
      <c r="C128" s="188"/>
      <c r="D128" s="189"/>
      <c r="E128" s="188"/>
      <c r="F128" s="190"/>
      <c r="G128" s="106">
        <v>2</v>
      </c>
      <c r="H128" s="51" t="s">
        <v>336</v>
      </c>
      <c r="I128" s="168"/>
      <c r="J128" s="63"/>
      <c r="K128" s="191"/>
      <c r="L128" s="65"/>
      <c r="M128" s="67"/>
      <c r="N128" s="58"/>
      <c r="O128" s="168"/>
      <c r="P128" s="63"/>
      <c r="Q128" s="191"/>
      <c r="R128" s="65"/>
      <c r="S128" s="67"/>
      <c r="T128" s="58"/>
      <c r="U128" s="171"/>
      <c r="V128" s="63"/>
      <c r="W128" s="191"/>
      <c r="X128" s="65"/>
      <c r="Y128" s="67"/>
      <c r="Z128" s="58"/>
    </row>
    <row r="129" spans="1:29" s="39" customFormat="1" ht="13.8" outlineLevel="1" x14ac:dyDescent="0.25">
      <c r="A129" s="89"/>
      <c r="B129" s="89"/>
      <c r="C129" s="188"/>
      <c r="D129" s="189"/>
      <c r="E129" s="188"/>
      <c r="F129" s="190"/>
      <c r="G129" s="106">
        <v>3</v>
      </c>
      <c r="H129" s="51" t="s">
        <v>90</v>
      </c>
      <c r="I129" s="168"/>
      <c r="J129" s="63"/>
      <c r="K129" s="191"/>
      <c r="L129" s="65"/>
      <c r="M129" s="67"/>
      <c r="N129" s="58"/>
      <c r="O129" s="168"/>
      <c r="P129" s="63"/>
      <c r="Q129" s="191"/>
      <c r="R129" s="65"/>
      <c r="S129" s="67"/>
      <c r="T129" s="58"/>
      <c r="U129" s="171"/>
      <c r="V129" s="63"/>
      <c r="W129" s="191"/>
      <c r="X129" s="65"/>
      <c r="Y129" s="67"/>
      <c r="Z129" s="58"/>
    </row>
    <row r="130" spans="1:29" s="39" customFormat="1" ht="13.8" outlineLevel="1" x14ac:dyDescent="0.25">
      <c r="A130" s="89"/>
      <c r="B130" s="89"/>
      <c r="C130" s="188"/>
      <c r="D130" s="189"/>
      <c r="E130" s="188"/>
      <c r="F130" s="190"/>
      <c r="G130" s="106">
        <v>4</v>
      </c>
      <c r="H130" s="51" t="s">
        <v>91</v>
      </c>
      <c r="I130" s="168"/>
      <c r="J130" s="63"/>
      <c r="K130" s="191"/>
      <c r="L130" s="65"/>
      <c r="M130" s="67"/>
      <c r="N130" s="58"/>
      <c r="O130" s="168"/>
      <c r="P130" s="63"/>
      <c r="Q130" s="191"/>
      <c r="R130" s="65"/>
      <c r="S130" s="67"/>
      <c r="T130" s="58"/>
      <c r="U130" s="171"/>
      <c r="V130" s="63"/>
      <c r="W130" s="191"/>
      <c r="X130" s="65"/>
      <c r="Y130" s="67"/>
      <c r="Z130" s="58"/>
    </row>
    <row r="131" spans="1:29" s="39" customFormat="1" ht="13.8" outlineLevel="1" x14ac:dyDescent="0.25">
      <c r="A131" s="89"/>
      <c r="B131" s="89"/>
      <c r="C131" s="188"/>
      <c r="D131" s="189"/>
      <c r="E131" s="188"/>
      <c r="F131" s="190"/>
      <c r="G131" s="106">
        <v>5</v>
      </c>
      <c r="H131" s="51" t="s">
        <v>92</v>
      </c>
      <c r="I131" s="168"/>
      <c r="J131" s="63"/>
      <c r="K131" s="191"/>
      <c r="L131" s="65"/>
      <c r="M131" s="67"/>
      <c r="N131" s="58"/>
      <c r="O131" s="168"/>
      <c r="P131" s="63"/>
      <c r="Q131" s="191"/>
      <c r="R131" s="65"/>
      <c r="S131" s="67"/>
      <c r="T131" s="58"/>
      <c r="U131" s="171"/>
      <c r="V131" s="63"/>
      <c r="W131" s="191"/>
      <c r="X131" s="65"/>
      <c r="Y131" s="67"/>
      <c r="Z131" s="58"/>
    </row>
    <row r="132" spans="1:29" s="39" customFormat="1" ht="13.8" outlineLevel="1" x14ac:dyDescent="0.25">
      <c r="A132" s="89"/>
      <c r="B132" s="89"/>
      <c r="C132" s="188"/>
      <c r="D132" s="189"/>
      <c r="E132" s="188"/>
      <c r="F132" s="190"/>
      <c r="G132" s="106"/>
      <c r="H132" s="51" t="s">
        <v>95</v>
      </c>
      <c r="I132" s="168"/>
      <c r="J132" s="63"/>
      <c r="K132" s="191"/>
      <c r="L132" s="65"/>
      <c r="M132" s="67"/>
      <c r="N132" s="58"/>
      <c r="O132" s="168"/>
      <c r="P132" s="63"/>
      <c r="Q132" s="191"/>
      <c r="R132" s="65"/>
      <c r="S132" s="67"/>
      <c r="T132" s="58"/>
      <c r="U132" s="171"/>
      <c r="V132" s="63"/>
      <c r="W132" s="191"/>
      <c r="X132" s="65"/>
      <c r="Y132" s="67"/>
      <c r="Z132" s="58"/>
    </row>
    <row r="133" spans="1:29" s="39" customFormat="1" ht="13.8" outlineLevel="1" x14ac:dyDescent="0.25">
      <c r="A133" s="89"/>
      <c r="B133" s="89"/>
      <c r="C133" s="188"/>
      <c r="D133" s="189"/>
      <c r="E133" s="188"/>
      <c r="F133" s="190"/>
      <c r="G133" s="184" t="s">
        <v>102</v>
      </c>
      <c r="H133" s="185" t="s">
        <v>101</v>
      </c>
      <c r="I133" s="168"/>
      <c r="J133" s="62"/>
      <c r="K133" s="186"/>
      <c r="L133" s="64"/>
      <c r="M133" s="66"/>
      <c r="N133" s="59"/>
      <c r="O133" s="168"/>
      <c r="P133" s="62"/>
      <c r="Q133" s="186"/>
      <c r="R133" s="64"/>
      <c r="S133" s="66"/>
      <c r="T133" s="59"/>
      <c r="U133" s="171"/>
      <c r="V133" s="62"/>
      <c r="W133" s="186"/>
      <c r="X133" s="64"/>
      <c r="Y133" s="66"/>
      <c r="Z133" s="59"/>
      <c r="AA133" s="38"/>
      <c r="AB133" s="38"/>
      <c r="AC133" s="38"/>
    </row>
    <row r="134" spans="1:29" s="39" customFormat="1" ht="13.8" outlineLevel="1" x14ac:dyDescent="0.25">
      <c r="A134" s="89"/>
      <c r="B134" s="89"/>
      <c r="C134" s="188"/>
      <c r="D134" s="189"/>
      <c r="E134" s="188"/>
      <c r="F134" s="190"/>
      <c r="G134" s="106">
        <v>1</v>
      </c>
      <c r="H134" s="197" t="s">
        <v>97</v>
      </c>
      <c r="I134" s="168"/>
      <c r="J134" s="63"/>
      <c r="K134" s="191"/>
      <c r="L134" s="65"/>
      <c r="M134" s="67"/>
      <c r="N134" s="58"/>
      <c r="O134" s="168"/>
      <c r="P134" s="63"/>
      <c r="Q134" s="191"/>
      <c r="R134" s="65"/>
      <c r="S134" s="67"/>
      <c r="T134" s="58"/>
      <c r="U134" s="171"/>
      <c r="V134" s="63"/>
      <c r="W134" s="191"/>
      <c r="X134" s="65"/>
      <c r="Y134" s="67"/>
      <c r="Z134" s="58"/>
      <c r="AA134" s="38"/>
      <c r="AB134" s="38"/>
      <c r="AC134" s="38"/>
    </row>
    <row r="135" spans="1:29" s="39" customFormat="1" ht="13.8" outlineLevel="1" x14ac:dyDescent="0.25">
      <c r="A135" s="89"/>
      <c r="B135" s="89"/>
      <c r="C135" s="188"/>
      <c r="D135" s="189"/>
      <c r="E135" s="188"/>
      <c r="F135" s="190"/>
      <c r="G135" s="106">
        <v>2</v>
      </c>
      <c r="H135" s="51" t="s">
        <v>98</v>
      </c>
      <c r="I135" s="168"/>
      <c r="J135" s="63"/>
      <c r="K135" s="191"/>
      <c r="L135" s="65"/>
      <c r="M135" s="67"/>
      <c r="N135" s="58"/>
      <c r="O135" s="168"/>
      <c r="P135" s="63"/>
      <c r="Q135" s="191"/>
      <c r="R135" s="65"/>
      <c r="S135" s="67"/>
      <c r="T135" s="58"/>
      <c r="U135" s="171"/>
      <c r="V135" s="63"/>
      <c r="W135" s="191"/>
      <c r="X135" s="65"/>
      <c r="Y135" s="67"/>
      <c r="Z135" s="58"/>
    </row>
    <row r="136" spans="1:29" s="39" customFormat="1" ht="13.8" outlineLevel="1" x14ac:dyDescent="0.25">
      <c r="A136" s="89"/>
      <c r="B136" s="89"/>
      <c r="C136" s="188"/>
      <c r="D136" s="189"/>
      <c r="E136" s="188"/>
      <c r="F136" s="190"/>
      <c r="G136" s="106">
        <v>3</v>
      </c>
      <c r="H136" s="51" t="s">
        <v>99</v>
      </c>
      <c r="I136" s="168"/>
      <c r="J136" s="63"/>
      <c r="K136" s="191"/>
      <c r="L136" s="65"/>
      <c r="M136" s="67"/>
      <c r="N136" s="58"/>
      <c r="O136" s="168"/>
      <c r="P136" s="63"/>
      <c r="Q136" s="191"/>
      <c r="R136" s="65"/>
      <c r="S136" s="67"/>
      <c r="T136" s="58"/>
      <c r="U136" s="171"/>
      <c r="V136" s="63"/>
      <c r="W136" s="191"/>
      <c r="X136" s="65"/>
      <c r="Y136" s="67"/>
      <c r="Z136" s="58"/>
    </row>
    <row r="137" spans="1:29" s="39" customFormat="1" ht="13.8" outlineLevel="1" x14ac:dyDescent="0.25">
      <c r="A137" s="89"/>
      <c r="B137" s="89"/>
      <c r="C137" s="188"/>
      <c r="D137" s="189"/>
      <c r="E137" s="188"/>
      <c r="F137" s="190"/>
      <c r="G137" s="106">
        <v>4</v>
      </c>
      <c r="H137" s="51" t="s">
        <v>100</v>
      </c>
      <c r="I137" s="168"/>
      <c r="J137" s="63"/>
      <c r="K137" s="191"/>
      <c r="L137" s="65"/>
      <c r="M137" s="67"/>
      <c r="N137" s="58"/>
      <c r="O137" s="168"/>
      <c r="P137" s="63"/>
      <c r="Q137" s="191"/>
      <c r="R137" s="65"/>
      <c r="S137" s="67"/>
      <c r="T137" s="58"/>
      <c r="U137" s="171"/>
      <c r="V137" s="63"/>
      <c r="W137" s="191"/>
      <c r="X137" s="65"/>
      <c r="Y137" s="67"/>
      <c r="Z137" s="58"/>
    </row>
    <row r="138" spans="1:29" s="39" customFormat="1" ht="13.8" outlineLevel="1" x14ac:dyDescent="0.25">
      <c r="A138" s="89"/>
      <c r="B138" s="89"/>
      <c r="C138" s="188"/>
      <c r="D138" s="189"/>
      <c r="E138" s="188"/>
      <c r="F138" s="190"/>
      <c r="G138" s="106"/>
      <c r="H138" s="51" t="s">
        <v>95</v>
      </c>
      <c r="I138" s="168"/>
      <c r="J138" s="63"/>
      <c r="K138" s="191"/>
      <c r="L138" s="65"/>
      <c r="M138" s="67"/>
      <c r="N138" s="58"/>
      <c r="O138" s="168"/>
      <c r="P138" s="63"/>
      <c r="Q138" s="191"/>
      <c r="R138" s="65"/>
      <c r="S138" s="67"/>
      <c r="T138" s="58"/>
      <c r="U138" s="171"/>
      <c r="V138" s="63"/>
      <c r="W138" s="191"/>
      <c r="X138" s="65"/>
      <c r="Y138" s="67"/>
      <c r="Z138" s="58"/>
    </row>
    <row r="139" spans="1:29" s="39" customFormat="1" ht="13.8" outlineLevel="1" x14ac:dyDescent="0.25">
      <c r="A139" s="89"/>
      <c r="B139" s="89"/>
      <c r="C139" s="188"/>
      <c r="D139" s="189"/>
      <c r="E139" s="188"/>
      <c r="F139" s="190"/>
      <c r="G139" s="184" t="s">
        <v>103</v>
      </c>
      <c r="H139" s="185" t="s">
        <v>104</v>
      </c>
      <c r="I139" s="168"/>
      <c r="J139" s="62"/>
      <c r="K139" s="186"/>
      <c r="L139" s="64"/>
      <c r="M139" s="66"/>
      <c r="N139" s="59"/>
      <c r="O139" s="168"/>
      <c r="P139" s="62"/>
      <c r="Q139" s="186"/>
      <c r="R139" s="64"/>
      <c r="S139" s="66"/>
      <c r="T139" s="59"/>
      <c r="U139" s="171"/>
      <c r="V139" s="62"/>
      <c r="W139" s="186"/>
      <c r="X139" s="64"/>
      <c r="Y139" s="66"/>
      <c r="Z139" s="59"/>
      <c r="AA139" s="38"/>
      <c r="AB139" s="38"/>
      <c r="AC139" s="38"/>
    </row>
    <row r="140" spans="1:29" s="39" customFormat="1" ht="13.8" outlineLevel="1" x14ac:dyDescent="0.25">
      <c r="A140" s="89"/>
      <c r="B140" s="89"/>
      <c r="C140" s="188"/>
      <c r="D140" s="189"/>
      <c r="E140" s="188"/>
      <c r="F140" s="190"/>
      <c r="G140" s="106">
        <v>1</v>
      </c>
      <c r="H140" s="197" t="s">
        <v>105</v>
      </c>
      <c r="I140" s="168"/>
      <c r="J140" s="63"/>
      <c r="K140" s="191"/>
      <c r="L140" s="65"/>
      <c r="M140" s="67"/>
      <c r="N140" s="58"/>
      <c r="O140" s="168"/>
      <c r="P140" s="63"/>
      <c r="Q140" s="191"/>
      <c r="R140" s="65"/>
      <c r="S140" s="67"/>
      <c r="T140" s="58"/>
      <c r="U140" s="171"/>
      <c r="V140" s="63"/>
      <c r="W140" s="191"/>
      <c r="X140" s="65"/>
      <c r="Y140" s="67"/>
      <c r="Z140" s="58"/>
      <c r="AA140" s="38"/>
      <c r="AB140" s="38"/>
      <c r="AC140" s="38"/>
    </row>
    <row r="141" spans="1:29" s="39" customFormat="1" ht="13.8" outlineLevel="1" x14ac:dyDescent="0.25">
      <c r="A141" s="92"/>
      <c r="B141" s="92"/>
      <c r="C141" s="71"/>
      <c r="D141" s="72"/>
      <c r="E141" s="71"/>
      <c r="F141" s="190"/>
      <c r="G141" s="106">
        <v>2</v>
      </c>
      <c r="H141" s="51" t="s">
        <v>106</v>
      </c>
      <c r="I141" s="168"/>
      <c r="J141" s="63"/>
      <c r="K141" s="191"/>
      <c r="L141" s="65"/>
      <c r="M141" s="67"/>
      <c r="N141" s="58"/>
      <c r="O141" s="168"/>
      <c r="P141" s="63"/>
      <c r="Q141" s="191"/>
      <c r="R141" s="65"/>
      <c r="S141" s="67"/>
      <c r="T141" s="58"/>
      <c r="U141" s="171"/>
      <c r="V141" s="63"/>
      <c r="W141" s="191"/>
      <c r="X141" s="65"/>
      <c r="Y141" s="67"/>
      <c r="Z141" s="58"/>
    </row>
    <row r="142" spans="1:29" s="39" customFormat="1" ht="13.8" outlineLevel="1" x14ac:dyDescent="0.25">
      <c r="A142" s="89"/>
      <c r="B142" s="89"/>
      <c r="C142" s="188"/>
      <c r="D142" s="189"/>
      <c r="E142" s="188"/>
      <c r="F142" s="190"/>
      <c r="G142" s="106">
        <v>3</v>
      </c>
      <c r="H142" s="51" t="s">
        <v>107</v>
      </c>
      <c r="I142" s="168"/>
      <c r="J142" s="63"/>
      <c r="K142" s="191"/>
      <c r="L142" s="65"/>
      <c r="M142" s="67"/>
      <c r="N142" s="58"/>
      <c r="O142" s="168"/>
      <c r="P142" s="63"/>
      <c r="Q142" s="191"/>
      <c r="R142" s="65"/>
      <c r="S142" s="67"/>
      <c r="T142" s="58"/>
      <c r="U142" s="171"/>
      <c r="V142" s="63"/>
      <c r="W142" s="191"/>
      <c r="X142" s="65"/>
      <c r="Y142" s="67"/>
      <c r="Z142" s="58"/>
    </row>
    <row r="143" spans="1:29" s="39" customFormat="1" ht="13.8" outlineLevel="1" x14ac:dyDescent="0.25">
      <c r="A143" s="89"/>
      <c r="B143" s="89"/>
      <c r="C143" s="188"/>
      <c r="D143" s="189"/>
      <c r="E143" s="188"/>
      <c r="F143" s="190"/>
      <c r="G143" s="106"/>
      <c r="H143" s="51" t="s">
        <v>95</v>
      </c>
      <c r="I143" s="168"/>
      <c r="J143" s="63"/>
      <c r="K143" s="191"/>
      <c r="L143" s="65"/>
      <c r="M143" s="67"/>
      <c r="N143" s="58"/>
      <c r="O143" s="168"/>
      <c r="P143" s="63"/>
      <c r="Q143" s="191"/>
      <c r="R143" s="65"/>
      <c r="S143" s="67"/>
      <c r="T143" s="58"/>
      <c r="U143" s="171"/>
      <c r="V143" s="63"/>
      <c r="W143" s="191"/>
      <c r="X143" s="65"/>
      <c r="Y143" s="67"/>
      <c r="Z143" s="58"/>
    </row>
    <row r="144" spans="1:29" s="39" customFormat="1" ht="13.8" outlineLevel="1" x14ac:dyDescent="0.25">
      <c r="A144" s="89"/>
      <c r="B144" s="89"/>
      <c r="C144" s="188"/>
      <c r="D144" s="189"/>
      <c r="E144" s="188"/>
      <c r="F144" s="190"/>
      <c r="G144" s="184" t="s">
        <v>372</v>
      </c>
      <c r="H144" s="185" t="s">
        <v>108</v>
      </c>
      <c r="I144" s="168"/>
      <c r="J144" s="62"/>
      <c r="K144" s="186"/>
      <c r="L144" s="64"/>
      <c r="M144" s="66"/>
      <c r="N144" s="59"/>
      <c r="O144" s="168"/>
      <c r="P144" s="62"/>
      <c r="Q144" s="186"/>
      <c r="R144" s="64"/>
      <c r="S144" s="66"/>
      <c r="T144" s="59"/>
      <c r="U144" s="171"/>
      <c r="V144" s="62"/>
      <c r="W144" s="186"/>
      <c r="X144" s="64"/>
      <c r="Y144" s="66"/>
      <c r="Z144" s="59"/>
      <c r="AA144" s="38"/>
      <c r="AB144" s="38"/>
      <c r="AC144" s="38"/>
    </row>
    <row r="145" spans="1:29" s="39" customFormat="1" ht="13.8" outlineLevel="1" x14ac:dyDescent="0.25">
      <c r="A145" s="89"/>
      <c r="B145" s="89"/>
      <c r="C145" s="188"/>
      <c r="D145" s="189"/>
      <c r="E145" s="188"/>
      <c r="F145" s="190"/>
      <c r="G145" s="106">
        <v>1</v>
      </c>
      <c r="H145" s="197" t="s">
        <v>109</v>
      </c>
      <c r="I145" s="168"/>
      <c r="J145" s="63"/>
      <c r="K145" s="191"/>
      <c r="L145" s="65"/>
      <c r="M145" s="67"/>
      <c r="N145" s="58"/>
      <c r="O145" s="168"/>
      <c r="P145" s="63"/>
      <c r="Q145" s="191"/>
      <c r="R145" s="65"/>
      <c r="S145" s="67"/>
      <c r="T145" s="58"/>
      <c r="U145" s="171"/>
      <c r="V145" s="63"/>
      <c r="W145" s="191"/>
      <c r="X145" s="65"/>
      <c r="Y145" s="67"/>
      <c r="Z145" s="58"/>
      <c r="AA145" s="38"/>
      <c r="AB145" s="38"/>
      <c r="AC145" s="38"/>
    </row>
    <row r="146" spans="1:29" s="39" customFormat="1" ht="13.8" outlineLevel="1" x14ac:dyDescent="0.25">
      <c r="A146" s="89"/>
      <c r="B146" s="89"/>
      <c r="C146" s="188"/>
      <c r="D146" s="189"/>
      <c r="E146" s="188"/>
      <c r="F146" s="190"/>
      <c r="G146" s="106">
        <v>2</v>
      </c>
      <c r="H146" s="51" t="s">
        <v>337</v>
      </c>
      <c r="I146" s="168"/>
      <c r="J146" s="63"/>
      <c r="K146" s="191"/>
      <c r="L146" s="65"/>
      <c r="M146" s="67"/>
      <c r="N146" s="58"/>
      <c r="O146" s="168"/>
      <c r="P146" s="63"/>
      <c r="Q146" s="191"/>
      <c r="R146" s="65"/>
      <c r="S146" s="67"/>
      <c r="T146" s="58"/>
      <c r="U146" s="171"/>
      <c r="V146" s="63"/>
      <c r="W146" s="191"/>
      <c r="X146" s="65"/>
      <c r="Y146" s="67"/>
      <c r="Z146" s="58"/>
    </row>
    <row r="147" spans="1:29" s="39" customFormat="1" ht="13.8" outlineLevel="1" x14ac:dyDescent="0.25">
      <c r="A147" s="112"/>
      <c r="B147" s="112"/>
      <c r="C147" s="198"/>
      <c r="D147" s="199"/>
      <c r="E147" s="198"/>
      <c r="F147" s="200"/>
      <c r="G147" s="124">
        <v>3</v>
      </c>
      <c r="H147" s="113" t="s">
        <v>110</v>
      </c>
      <c r="I147" s="168"/>
      <c r="J147" s="114"/>
      <c r="K147" s="201"/>
      <c r="L147" s="115"/>
      <c r="M147" s="116"/>
      <c r="N147" s="117"/>
      <c r="O147" s="168"/>
      <c r="P147" s="114"/>
      <c r="Q147" s="201"/>
      <c r="R147" s="115"/>
      <c r="S147" s="116"/>
      <c r="T147" s="117"/>
      <c r="U147" s="171"/>
      <c r="V147" s="114"/>
      <c r="W147" s="201"/>
      <c r="X147" s="115"/>
      <c r="Y147" s="116"/>
      <c r="Z147" s="117"/>
    </row>
    <row r="148" spans="1:29" s="39" customFormat="1" ht="13.8" outlineLevel="1" x14ac:dyDescent="0.25">
      <c r="A148" s="91"/>
      <c r="B148" s="91"/>
      <c r="C148" s="202"/>
      <c r="D148" s="203"/>
      <c r="E148" s="202"/>
      <c r="F148" s="204"/>
      <c r="G148" s="107"/>
      <c r="H148" s="118" t="s">
        <v>95</v>
      </c>
      <c r="I148" s="193"/>
      <c r="J148" s="119"/>
      <c r="K148" s="205"/>
      <c r="L148" s="120"/>
      <c r="M148" s="121"/>
      <c r="N148" s="122"/>
      <c r="O148" s="193"/>
      <c r="P148" s="119"/>
      <c r="Q148" s="205"/>
      <c r="R148" s="120"/>
      <c r="S148" s="121"/>
      <c r="T148" s="122"/>
      <c r="U148" s="193"/>
      <c r="V148" s="119"/>
      <c r="W148" s="205"/>
      <c r="X148" s="120"/>
      <c r="Y148" s="121"/>
      <c r="Z148" s="122"/>
    </row>
    <row r="149" spans="1:29" s="39" customFormat="1" ht="13.8" x14ac:dyDescent="0.25">
      <c r="A149" s="206"/>
      <c r="B149" s="206"/>
      <c r="C149" s="206"/>
      <c r="D149" s="206"/>
      <c r="E149" s="73" t="s">
        <v>328</v>
      </c>
      <c r="F149" s="207">
        <f>SUM(F10:F148)</f>
        <v>0</v>
      </c>
      <c r="G149" s="206"/>
      <c r="H149" s="206"/>
      <c r="I149" s="208"/>
      <c r="J149" s="206"/>
      <c r="K149" s="206"/>
      <c r="L149" s="52" t="s">
        <v>111</v>
      </c>
      <c r="M149" s="207">
        <f>SUM(M18:M148)</f>
        <v>0</v>
      </c>
      <c r="N149" s="206"/>
      <c r="O149" s="208"/>
      <c r="P149" s="206"/>
      <c r="Q149" s="206"/>
      <c r="R149" s="52" t="s">
        <v>111</v>
      </c>
      <c r="S149" s="207">
        <f>SUM(S18:S148)</f>
        <v>0</v>
      </c>
      <c r="T149" s="206"/>
      <c r="U149" s="208"/>
      <c r="V149" s="206"/>
      <c r="W149" s="206"/>
      <c r="X149" s="52" t="s">
        <v>111</v>
      </c>
      <c r="Y149" s="207">
        <f>SUM(Y18:Y148)</f>
        <v>0</v>
      </c>
      <c r="Z149" s="206"/>
    </row>
    <row r="152" spans="1:29" x14ac:dyDescent="0.2">
      <c r="A152" s="125" t="s">
        <v>327</v>
      </c>
      <c r="B152" s="209"/>
      <c r="C152" s="209"/>
      <c r="D152" s="53"/>
      <c r="E152" s="210"/>
    </row>
    <row r="153" spans="1:29" x14ac:dyDescent="0.2">
      <c r="A153" s="211" t="str">
        <f>L2</f>
        <v>&lt;hier typen&gt;</v>
      </c>
      <c r="B153" s="212"/>
      <c r="C153" s="212"/>
      <c r="D153" s="212"/>
      <c r="E153" s="213">
        <f>M149</f>
        <v>0</v>
      </c>
    </row>
    <row r="154" spans="1:29" x14ac:dyDescent="0.2">
      <c r="A154" s="165" t="s">
        <v>112</v>
      </c>
      <c r="E154" s="214" t="e">
        <f>E155/M149</f>
        <v>#DIV/0!</v>
      </c>
    </row>
    <row r="155" spans="1:29" x14ac:dyDescent="0.2">
      <c r="A155" s="165" t="s">
        <v>113</v>
      </c>
      <c r="E155" s="215">
        <f>F149-M149</f>
        <v>0</v>
      </c>
    </row>
    <row r="156" spans="1:29" x14ac:dyDescent="0.2">
      <c r="A156" s="165"/>
      <c r="E156" s="216"/>
    </row>
    <row r="157" spans="1:29" x14ac:dyDescent="0.2">
      <c r="A157" s="211" t="str">
        <f>R2</f>
        <v>&lt;hier typen&gt;</v>
      </c>
      <c r="B157" s="212"/>
      <c r="C157" s="212"/>
      <c r="D157" s="212"/>
      <c r="E157" s="213">
        <f>S149</f>
        <v>0</v>
      </c>
    </row>
    <row r="158" spans="1:29" x14ac:dyDescent="0.2">
      <c r="A158" s="165" t="s">
        <v>112</v>
      </c>
      <c r="E158" s="214" t="e">
        <f>E159/S149</f>
        <v>#DIV/0!</v>
      </c>
    </row>
    <row r="159" spans="1:29" x14ac:dyDescent="0.2">
      <c r="A159" s="165" t="s">
        <v>113</v>
      </c>
      <c r="E159" s="215">
        <f>F149-S149</f>
        <v>0</v>
      </c>
    </row>
    <row r="160" spans="1:29" x14ac:dyDescent="0.2">
      <c r="A160" s="165"/>
      <c r="E160" s="216"/>
    </row>
    <row r="161" spans="1:5" x14ac:dyDescent="0.2">
      <c r="A161" s="211" t="str">
        <f>X2</f>
        <v>&lt;hier typen&gt;</v>
      </c>
      <c r="B161" s="212"/>
      <c r="C161" s="212"/>
      <c r="D161" s="212"/>
      <c r="E161" s="213">
        <f>Y149</f>
        <v>0</v>
      </c>
    </row>
    <row r="162" spans="1:5" x14ac:dyDescent="0.2">
      <c r="A162" s="165" t="s">
        <v>112</v>
      </c>
      <c r="E162" s="214" t="e">
        <f>E163/Y149</f>
        <v>#DIV/0!</v>
      </c>
    </row>
    <row r="163" spans="1:5" x14ac:dyDescent="0.2">
      <c r="A163" s="217" t="s">
        <v>113</v>
      </c>
      <c r="B163" s="218"/>
      <c r="C163" s="218"/>
      <c r="D163" s="218"/>
      <c r="E163" s="219">
        <f>F149-Y149</f>
        <v>0</v>
      </c>
    </row>
  </sheetData>
  <mergeCells count="4">
    <mergeCell ref="G8:H9"/>
    <mergeCell ref="J10:N10"/>
    <mergeCell ref="P10:T10"/>
    <mergeCell ref="V10:Z10"/>
  </mergeCells>
  <conditionalFormatting sqref="F149">
    <cfRule type="containsText" dxfId="10" priority="2" operator="containsText" text="nazien">
      <formula>NOT(ISERROR(SEARCH("nazien",F149)))</formula>
    </cfRule>
    <cfRule type="containsText" dxfId="9" priority="3" operator="containsText" text="incl.">
      <formula>NOT(ISERROR(SEARCH("incl.",F149)))</formula>
    </cfRule>
    <cfRule type="containsText" dxfId="8" priority="4" operator="containsText" text="inclusief">
      <formula>NOT(ISERROR(SEARCH("inclusief",F149)))</formula>
    </cfRule>
    <cfRule type="containsText" dxfId="7" priority="5" operator="containsText" text="excl.">
      <formula>NOT(ISERROR(SEARCH("excl.",F149)))</formula>
    </cfRule>
    <cfRule type="containsText" dxfId="6" priority="6" operator="containsText" text="exclusief">
      <formula>NOT(ISERROR(SEARCH("exclusief",F149)))</formula>
    </cfRule>
  </conditionalFormatting>
  <conditionalFormatting sqref="M1 S1 Y1 M7:M1048576 S7:S1048576 Y7:Y1048576">
    <cfRule type="containsText" dxfId="5" priority="1" operator="containsText" text="nazien">
      <formula>NOT(ISERROR(SEARCH("nazien",M1)))</formula>
    </cfRule>
    <cfRule type="containsText" dxfId="4" priority="7" operator="containsText" text="optie">
      <formula>NOT(ISERROR(SEARCH("optie",M1)))</formula>
    </cfRule>
    <cfRule type="containsText" dxfId="3" priority="8" operator="containsText" text="incl.">
      <formula>NOT(ISERROR(SEARCH("incl.",M1)))</formula>
    </cfRule>
    <cfRule type="containsText" dxfId="2" priority="9" operator="containsText" text="inclusief">
      <formula>NOT(ISERROR(SEARCH("inclusief",M1)))</formula>
    </cfRule>
    <cfRule type="containsText" dxfId="1" priority="10" operator="containsText" text="excl.">
      <formula>NOT(ISERROR(SEARCH("excl.",M1)))</formula>
    </cfRule>
    <cfRule type="containsText" dxfId="0" priority="11" operator="containsText" text="exclusief">
      <formula>NOT(ISERROR(SEARCH("exclusief",M1)))</formula>
    </cfRule>
  </conditionalFormatting>
  <hyperlinks>
    <hyperlink ref="H51" location="Kennisbank!A1" display="zie tabblad kennisband" xr:uid="{6B177D4A-4513-4A8F-BA4A-E1F9777C3117}"/>
  </hyperlinks>
  <pageMargins left="0.19685039370078741" right="0.19685039370078741" top="0.39370078740157483" bottom="0.39370078740157483" header="0.19685039370078741" footer="0.19685039370078741"/>
  <pageSetup paperSize="8" scale="61" fitToHeight="0"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promptTitle="BIM-propertysets" prompt="Kies hier het juiste document" xr:uid="{FF5A056D-9E00-4DD4-A35F-EF36C3417E69}">
          <x14:formula1>
            <xm:f>'Data en verwijzingen'!$A$2:$A$8</xm:f>
          </x14:formula1>
          <xm:sqref>H123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2C4E5-F878-42E1-8826-0E59D0BB907C}">
  <dimension ref="A1:V8"/>
  <sheetViews>
    <sheetView zoomScaleNormal="100" zoomScaleSheetLayoutView="100" workbookViewId="0">
      <pane xSplit="18" ySplit="1" topLeftCell="S2" activePane="bottomRight" state="frozen"/>
      <selection pane="topRight" activeCell="S1" sqref="S1"/>
      <selection pane="bottomLeft" activeCell="A2" sqref="A2"/>
      <selection pane="bottomRight" activeCell="E49" sqref="E49"/>
    </sheetView>
  </sheetViews>
  <sheetFormatPr defaultColWidth="9.109375" defaultRowHeight="10.199999999999999" x14ac:dyDescent="0.2"/>
  <cols>
    <col min="1" max="1" width="13.33203125" style="37" bestFit="1" customWidth="1"/>
    <col min="2" max="2" width="4.33203125" style="37" bestFit="1" customWidth="1"/>
    <col min="3" max="3" width="40.109375" style="37" bestFit="1" customWidth="1"/>
    <col min="4" max="4" width="9.109375" style="37" customWidth="1"/>
    <col min="5" max="5" width="9.109375" style="40" bestFit="1" customWidth="1"/>
    <col min="6" max="6" width="5.88671875" style="37" bestFit="1" customWidth="1"/>
    <col min="7" max="7" width="5.33203125" style="40" bestFit="1" customWidth="1"/>
    <col min="8" max="8" width="7.44140625" style="40" bestFit="1" customWidth="1"/>
    <col min="9" max="9" width="9.109375" style="40" bestFit="1" customWidth="1"/>
    <col min="10" max="10" width="4.44140625" style="40" bestFit="1" customWidth="1"/>
    <col min="11" max="11" width="10.44140625" style="40" bestFit="1" customWidth="1"/>
    <col min="12" max="12" width="11.33203125" style="40" bestFit="1" customWidth="1"/>
    <col min="13" max="13" width="9.109375" style="40" bestFit="1" customWidth="1"/>
    <col min="14" max="14" width="11.33203125" style="40" bestFit="1" customWidth="1"/>
    <col min="15" max="15" width="7.44140625" style="40" bestFit="1" customWidth="1"/>
    <col min="16" max="16" width="10.109375" style="40" bestFit="1" customWidth="1"/>
    <col min="17" max="18" width="11.33203125" style="40" bestFit="1" customWidth="1"/>
    <col min="19" max="19" width="30.6640625" style="38" customWidth="1"/>
    <col min="20" max="20" width="9.109375" style="38"/>
    <col min="21" max="21" width="50.6640625" style="38" customWidth="1"/>
    <col min="22" max="22" width="15.6640625" style="38" customWidth="1"/>
    <col min="23" max="16384" width="9.109375" style="38"/>
  </cols>
  <sheetData>
    <row r="1" spans="1:22" x14ac:dyDescent="0.2">
      <c r="A1" s="77" t="s">
        <v>345</v>
      </c>
      <c r="B1" s="77" t="s">
        <v>346</v>
      </c>
      <c r="C1" s="77" t="s">
        <v>310</v>
      </c>
      <c r="D1" s="77"/>
      <c r="E1" s="78" t="s">
        <v>347</v>
      </c>
      <c r="F1" s="79" t="s">
        <v>348</v>
      </c>
      <c r="G1" s="78" t="s">
        <v>349</v>
      </c>
      <c r="H1" s="78" t="s">
        <v>350</v>
      </c>
      <c r="I1" s="78" t="s">
        <v>351</v>
      </c>
      <c r="J1" s="78" t="s">
        <v>352</v>
      </c>
      <c r="K1" s="78" t="s">
        <v>353</v>
      </c>
      <c r="L1" s="78" t="s">
        <v>354</v>
      </c>
      <c r="M1" s="78" t="s">
        <v>355</v>
      </c>
      <c r="N1" s="78" t="s">
        <v>356</v>
      </c>
      <c r="O1" s="78" t="s">
        <v>357</v>
      </c>
      <c r="P1" s="78" t="s">
        <v>358</v>
      </c>
      <c r="Q1" s="78" t="s">
        <v>359</v>
      </c>
      <c r="R1" s="78" t="s">
        <v>360</v>
      </c>
      <c r="S1" s="99" t="s">
        <v>377</v>
      </c>
      <c r="T1" s="108"/>
      <c r="U1" s="108" t="s">
        <v>397</v>
      </c>
    </row>
    <row r="2" spans="1:22" x14ac:dyDescent="0.2">
      <c r="A2" s="80" t="s">
        <v>361</v>
      </c>
      <c r="B2" s="80" t="s">
        <v>362</v>
      </c>
      <c r="C2" s="80"/>
      <c r="D2" s="80"/>
      <c r="E2" s="81"/>
      <c r="F2" s="80"/>
      <c r="G2" s="81"/>
      <c r="H2" s="81"/>
      <c r="I2" s="81"/>
      <c r="J2" s="81"/>
      <c r="K2" s="81"/>
      <c r="L2" s="81"/>
      <c r="M2" s="81"/>
      <c r="N2" s="81"/>
      <c r="O2" s="81"/>
      <c r="P2" s="81"/>
      <c r="Q2" s="81"/>
      <c r="R2" s="81"/>
      <c r="S2" s="98"/>
      <c r="U2" s="41"/>
      <c r="V2" s="80" t="s">
        <v>398</v>
      </c>
    </row>
    <row r="3" spans="1:22" x14ac:dyDescent="0.2">
      <c r="A3" s="82" t="s">
        <v>363</v>
      </c>
      <c r="B3" s="82" t="s">
        <v>364</v>
      </c>
      <c r="C3" s="82"/>
      <c r="D3" s="82"/>
      <c r="E3" s="83"/>
      <c r="F3" s="82"/>
      <c r="G3" s="83"/>
      <c r="H3" s="83"/>
      <c r="I3" s="83"/>
      <c r="J3" s="83"/>
      <c r="K3" s="83"/>
      <c r="L3" s="83"/>
      <c r="M3" s="83"/>
      <c r="N3" s="83"/>
      <c r="O3" s="83"/>
      <c r="P3" s="83"/>
      <c r="Q3" s="83"/>
      <c r="R3" s="83"/>
      <c r="S3" s="98"/>
      <c r="U3" s="41"/>
      <c r="V3" s="82" t="s">
        <v>399</v>
      </c>
    </row>
    <row r="4" spans="1:22" x14ac:dyDescent="0.2">
      <c r="A4" s="84" t="s">
        <v>365</v>
      </c>
      <c r="B4" s="84" t="s">
        <v>366</v>
      </c>
      <c r="C4" s="84"/>
      <c r="D4" s="84"/>
      <c r="E4" s="85"/>
      <c r="F4" s="84"/>
      <c r="G4" s="85"/>
      <c r="H4" s="85"/>
      <c r="I4" s="85"/>
      <c r="J4" s="85"/>
      <c r="K4" s="85"/>
      <c r="L4" s="85"/>
      <c r="M4" s="85"/>
      <c r="N4" s="85"/>
      <c r="O4" s="85"/>
      <c r="P4" s="85"/>
      <c r="Q4" s="85"/>
      <c r="R4" s="85"/>
      <c r="S4" s="98"/>
      <c r="U4" s="41"/>
      <c r="V4" s="84" t="s">
        <v>400</v>
      </c>
    </row>
    <row r="5" spans="1:22" x14ac:dyDescent="0.2">
      <c r="A5" s="86" t="s">
        <v>367</v>
      </c>
      <c r="B5" s="86" t="s">
        <v>368</v>
      </c>
      <c r="C5" s="86"/>
      <c r="D5" s="86"/>
      <c r="E5" s="87"/>
      <c r="F5" s="86"/>
      <c r="G5" s="87"/>
      <c r="H5" s="87"/>
      <c r="I5" s="87"/>
      <c r="J5" s="87"/>
      <c r="K5" s="87"/>
      <c r="L5" s="87"/>
      <c r="M5" s="87"/>
      <c r="N5" s="87"/>
      <c r="O5" s="87"/>
      <c r="P5" s="87"/>
      <c r="Q5" s="87"/>
      <c r="R5" s="87"/>
      <c r="S5" s="98"/>
      <c r="U5" s="41"/>
      <c r="V5" s="86" t="s">
        <v>401</v>
      </c>
    </row>
    <row r="6" spans="1:22" x14ac:dyDescent="0.2">
      <c r="S6" s="98"/>
      <c r="V6" s="109" t="s">
        <v>402</v>
      </c>
    </row>
    <row r="8" spans="1:22" x14ac:dyDescent="0.2">
      <c r="A8" s="110" t="s">
        <v>403</v>
      </c>
    </row>
  </sheetData>
  <pageMargins left="0.19685039370078741" right="0.19685039370078741" top="0.19685039370078741" bottom="0.19685039370078741" header="0.11811023622047245" footer="0.11811023622047245"/>
  <pageSetup paperSize="9" scale="7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D7F8D-6D2B-4DEF-BE35-A39FF0A76380}">
  <dimension ref="A1:A8"/>
  <sheetViews>
    <sheetView workbookViewId="0">
      <selection activeCell="A3" sqref="A3"/>
    </sheetView>
  </sheetViews>
  <sheetFormatPr defaultColWidth="9.109375" defaultRowHeight="10.199999999999999" x14ac:dyDescent="0.2"/>
  <cols>
    <col min="1" max="1" width="37" style="38" bestFit="1" customWidth="1"/>
    <col min="2" max="16384" width="9.109375" style="38"/>
  </cols>
  <sheetData>
    <row r="1" spans="1:1" x14ac:dyDescent="0.2">
      <c r="A1" s="100" t="s">
        <v>391</v>
      </c>
    </row>
    <row r="2" spans="1:1" x14ac:dyDescent="0.2">
      <c r="A2" s="100" t="s">
        <v>392</v>
      </c>
    </row>
    <row r="3" spans="1:1" x14ac:dyDescent="0.2">
      <c r="A3" s="101" t="s">
        <v>385</v>
      </c>
    </row>
    <row r="4" spans="1:1" x14ac:dyDescent="0.2">
      <c r="A4" s="101" t="s">
        <v>386</v>
      </c>
    </row>
    <row r="5" spans="1:1" x14ac:dyDescent="0.2">
      <c r="A5" s="101" t="s">
        <v>387</v>
      </c>
    </row>
    <row r="6" spans="1:1" x14ac:dyDescent="0.2">
      <c r="A6" s="101" t="s">
        <v>388</v>
      </c>
    </row>
    <row r="7" spans="1:1" x14ac:dyDescent="0.2">
      <c r="A7" s="101" t="s">
        <v>389</v>
      </c>
    </row>
    <row r="8" spans="1:1" x14ac:dyDescent="0.2">
      <c r="A8" s="101" t="s">
        <v>390</v>
      </c>
    </row>
  </sheetData>
  <sheetProtection sheet="1" objects="1" scenarios="1"/>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2D53730EFE8964E94BE3884DCF9868F" ma:contentTypeVersion="9" ma:contentTypeDescription="Een nieuw document maken." ma:contentTypeScope="" ma:versionID="ea85dbda4d95e48e8add98b8dd8d1b06">
  <xsd:schema xmlns:xsd="http://www.w3.org/2001/XMLSchema" xmlns:xs="http://www.w3.org/2001/XMLSchema" xmlns:p="http://schemas.microsoft.com/office/2006/metadata/properties" xmlns:ns3="46fcaabf-75b9-409c-b56a-c9cf386605bb" targetNamespace="http://schemas.microsoft.com/office/2006/metadata/properties" ma:root="true" ma:fieldsID="48859ec146520b85aa9904a2c7ac219a" ns3:_="">
    <xsd:import namespace="46fcaabf-75b9-409c-b56a-c9cf386605bb"/>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fcaabf-75b9-409c-b56a-c9cf386605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746E79-5847-4C68-B863-358513BD60BC}">
  <ds:schemaRefs>
    <ds:schemaRef ds:uri="http://schemas.microsoft.com/sharepoint/v3/contenttype/forms"/>
  </ds:schemaRefs>
</ds:datastoreItem>
</file>

<file path=customXml/itemProps2.xml><?xml version="1.0" encoding="utf-8"?>
<ds:datastoreItem xmlns:ds="http://schemas.openxmlformats.org/officeDocument/2006/customXml" ds:itemID="{5A1E52FA-C5AC-4CCF-8DF3-A4CDEA9CB6AB}">
  <ds:schemaRefs>
    <ds:schemaRef ds:uri="http://www.w3.org/XML/1998/namespace"/>
    <ds:schemaRef ds:uri="http://purl.org/dc/elements/1.1/"/>
    <ds:schemaRef ds:uri="http://schemas.microsoft.com/office/infopath/2007/PartnerControls"/>
    <ds:schemaRef ds:uri="http://purl.org/dc/dcmitype/"/>
    <ds:schemaRef ds:uri="http://schemas.microsoft.com/office/2006/metadata/properties"/>
    <ds:schemaRef ds:uri="http://purl.org/dc/terms/"/>
    <ds:schemaRef ds:uri="http://schemas.microsoft.com/office/2006/documentManagement/types"/>
    <ds:schemaRef ds:uri="http://schemas.openxmlformats.org/package/2006/metadata/core-properties"/>
    <ds:schemaRef ds:uri="46fcaabf-75b9-409c-b56a-c9cf386605bb"/>
  </ds:schemaRefs>
</ds:datastoreItem>
</file>

<file path=customXml/itemProps3.xml><?xml version="1.0" encoding="utf-8"?>
<ds:datastoreItem xmlns:ds="http://schemas.openxmlformats.org/officeDocument/2006/customXml" ds:itemID="{2DE8F1E7-0324-4BD8-9488-6F0A093D31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fcaabf-75b9-409c-b56a-c9cf386605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8</vt:i4>
      </vt:variant>
      <vt:variant>
        <vt:lpstr>Benoemde bereiken</vt:lpstr>
      </vt:variant>
      <vt:variant>
        <vt:i4>9</vt:i4>
      </vt:variant>
    </vt:vector>
  </HeadingPairs>
  <TitlesOfParts>
    <vt:vector size="17" baseType="lpstr">
      <vt:lpstr>Versiebeheer</vt:lpstr>
      <vt:lpstr>Kennisbank</vt:lpstr>
      <vt:lpstr>Uittrekstaat</vt:lpstr>
      <vt:lpstr>Pvg calc</vt:lpstr>
      <vt:lpstr>Pvg wvb</vt:lpstr>
      <vt:lpstr>Contract</vt:lpstr>
      <vt:lpstr>Werkbegroting</vt:lpstr>
      <vt:lpstr>Data en verwijzingen</vt:lpstr>
      <vt:lpstr>Contract!Afdrukbereik</vt:lpstr>
      <vt:lpstr>Kennisbank!Afdrukbereik</vt:lpstr>
      <vt:lpstr>'Pvg calc'!Afdrukbereik</vt:lpstr>
      <vt:lpstr>'Pvg wvb'!Afdrukbereik</vt:lpstr>
      <vt:lpstr>Uittrekstaat!Afdrukbereik</vt:lpstr>
      <vt:lpstr>Contract!Afdruktitels</vt:lpstr>
      <vt:lpstr>'Pvg calc'!Afdruktitels</vt:lpstr>
      <vt:lpstr>'Pvg wvb'!Afdruktitels</vt:lpstr>
      <vt:lpstr>Uittrekstaat!Afdruktitels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Bijsterbosch</dc:creator>
  <cp:lastModifiedBy>Corné Noorderijk</cp:lastModifiedBy>
  <cp:lastPrinted>2026-04-23T07:47:21Z</cp:lastPrinted>
  <dcterms:created xsi:type="dcterms:W3CDTF">2023-07-17T09:33:17Z</dcterms:created>
  <dcterms:modified xsi:type="dcterms:W3CDTF">2026-04-28T10:16:59Z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0x01010032D53730EFE8964E94BE3884DCF9868F</vt:lpwstr>
  </property>
</Properties>
</file>