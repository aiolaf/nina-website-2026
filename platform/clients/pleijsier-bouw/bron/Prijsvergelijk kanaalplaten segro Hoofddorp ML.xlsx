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P:\Projecten\In uitvoering\Projecten Genemuiden\Hoofddorp Segro\Werkvoorbereiding\Financieel\1. Prijsvergelijk\230 Kanaalplaten\"/>
    </mc:Choice>
  </mc:AlternateContent>
  <xr:revisionPtr revIDLastSave="0" documentId="13_ncr:1_{499956E5-8AFF-49F3-AC0B-4DE915CF0C44}" xr6:coauthVersionLast="47" xr6:coauthVersionMax="47" xr10:uidLastSave="{00000000-0000-0000-0000-000000000000}"/>
  <bookViews>
    <workbookView xWindow="-108" yWindow="-108" windowWidth="23256" windowHeight="12576" xr2:uid="{C354BFB7-194F-4E76-9B9C-CDD31FDB10FA}"/>
  </bookViews>
  <sheets>
    <sheet name="23.1_Kanaalplaten" sheetId="1" r:id="rId1"/>
  </sheets>
  <externalReferences>
    <externalReference r:id="rId2"/>
    <externalReference r:id="rId3"/>
  </externalReferences>
  <definedNames>
    <definedName name="_xlnm.Print_Area" localSheetId="0">'23.1_Kanaalplaten'!$F$1:$N$118</definedName>
    <definedName name="Tabel3" localSheetId="0">[1]VBE!#REF!</definedName>
    <definedName name="Tabel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Y29" i="1" l="1"/>
  <c r="E29" i="1" l="1"/>
  <c r="E32" i="1"/>
  <c r="E12" i="1"/>
  <c r="E13" i="1"/>
  <c r="E14" i="1"/>
  <c r="E15" i="1"/>
  <c r="E16" i="1"/>
  <c r="E17" i="1"/>
  <c r="E18" i="1"/>
  <c r="E19" i="1"/>
  <c r="E20" i="1"/>
  <c r="E22" i="1"/>
  <c r="E23" i="1"/>
  <c r="E24" i="1"/>
  <c r="E25" i="1"/>
  <c r="E26" i="1"/>
  <c r="E27" i="1"/>
  <c r="E28" i="1"/>
  <c r="E11" i="1"/>
  <c r="W27" i="1"/>
  <c r="W29" i="1"/>
  <c r="W30" i="1"/>
  <c r="W31" i="1"/>
  <c r="W32" i="1"/>
  <c r="W25" i="1"/>
  <c r="T29" i="1"/>
  <c r="T28" i="1"/>
  <c r="W28" i="1" s="1"/>
  <c r="T24" i="1"/>
  <c r="M32" i="1"/>
  <c r="M31" i="1"/>
  <c r="M25" i="1"/>
  <c r="M27" i="1"/>
  <c r="M30" i="1"/>
  <c r="J29" i="1"/>
  <c r="M29" i="1" s="1"/>
  <c r="J28" i="1"/>
  <c r="M28" i="1" s="1"/>
  <c r="J24" i="1"/>
  <c r="R25" i="1"/>
  <c r="R26" i="1"/>
  <c r="R27" i="1"/>
  <c r="R30" i="1"/>
  <c r="R31" i="1"/>
  <c r="R32" i="1"/>
  <c r="AB25" i="1"/>
  <c r="O29" i="1"/>
  <c r="R29" i="1" s="1"/>
  <c r="O28" i="1"/>
  <c r="R28" i="1" s="1"/>
  <c r="O24" i="1"/>
  <c r="AB27" i="1"/>
  <c r="AB30" i="1"/>
  <c r="AB31" i="1"/>
  <c r="AB32" i="1"/>
  <c r="AB29" i="1"/>
  <c r="Y24" i="1"/>
  <c r="I29" i="1"/>
  <c r="I28" i="1"/>
  <c r="I24" i="1"/>
  <c r="AB51" i="1" l="1"/>
  <c r="AB52" i="1"/>
  <c r="AB53" i="1"/>
  <c r="AB61" i="1"/>
  <c r="AB62" i="1"/>
  <c r="AB46" i="1"/>
  <c r="AB28" i="1"/>
  <c r="AB26" i="1"/>
  <c r="AB24" i="1"/>
  <c r="R24" i="1"/>
  <c r="M24" i="1"/>
  <c r="W24" i="1"/>
  <c r="M26" i="1"/>
  <c r="W26" i="1"/>
  <c r="M43" i="1"/>
  <c r="R43" i="1"/>
  <c r="R46" i="1"/>
  <c r="R48" i="1"/>
  <c r="R49" i="1"/>
  <c r="R50" i="1"/>
  <c r="W50" i="1"/>
  <c r="G77" i="1"/>
  <c r="G78" i="1"/>
  <c r="G79" i="1"/>
  <c r="G80" i="1"/>
  <c r="G81" i="1"/>
  <c r="G82" i="1"/>
  <c r="G83" i="1"/>
  <c r="R83" i="1"/>
  <c r="G84" i="1"/>
  <c r="G85" i="1"/>
  <c r="G86" i="1"/>
  <c r="G87" i="1"/>
  <c r="G88" i="1"/>
  <c r="G89" i="1"/>
  <c r="G90" i="1"/>
  <c r="G91" i="1"/>
  <c r="G92" i="1"/>
  <c r="G93" i="1"/>
  <c r="G94" i="1"/>
  <c r="G95" i="1"/>
  <c r="G96" i="1"/>
  <c r="G97" i="1"/>
  <c r="G98" i="1"/>
  <c r="G99" i="1"/>
  <c r="G100" i="1"/>
  <c r="G101" i="1"/>
  <c r="E117" i="1"/>
  <c r="A120" i="1"/>
  <c r="A124" i="1"/>
  <c r="AB117" i="1" l="1"/>
  <c r="E132" i="1" s="1"/>
  <c r="E134" i="1" s="1"/>
  <c r="E133" i="1" s="1"/>
  <c r="W117" i="1"/>
  <c r="E128" i="1" s="1"/>
  <c r="E130" i="1" s="1"/>
  <c r="E129" i="1" s="1"/>
  <c r="M117" i="1"/>
  <c r="E120" i="1" s="1"/>
  <c r="R117" i="1"/>
  <c r="E124" i="1" s="1"/>
  <c r="E126" i="1" s="1"/>
  <c r="E125" i="1" s="1"/>
  <c r="E122" i="1" l="1"/>
  <c r="E121" i="1" s="1"/>
</calcChain>
</file>

<file path=xl/sharedStrings.xml><?xml version="1.0" encoding="utf-8"?>
<sst xmlns="http://schemas.openxmlformats.org/spreadsheetml/2006/main" count="527" uniqueCount="171">
  <si>
    <t>opt.</t>
  </si>
  <si>
    <t>opt</t>
  </si>
  <si>
    <t>naz.</t>
  </si>
  <si>
    <t>naz</t>
  </si>
  <si>
    <t>incl.</t>
  </si>
  <si>
    <t>inc</t>
  </si>
  <si>
    <t>incl</t>
  </si>
  <si>
    <t>excl.</t>
  </si>
  <si>
    <t>exc</t>
  </si>
  <si>
    <t>excl</t>
  </si>
  <si>
    <t>optie</t>
  </si>
  <si>
    <t>nazien</t>
  </si>
  <si>
    <t>exclusief</t>
  </si>
  <si>
    <t>inclusief</t>
  </si>
  <si>
    <t>Laten staan!!!</t>
  </si>
  <si>
    <t>Inkoopresultaat</t>
  </si>
  <si>
    <t>Verschil begroot</t>
  </si>
  <si>
    <t>Dycore</t>
  </si>
  <si>
    <t>I N K O O P R E S U L T A A T      O F F E R T E S</t>
  </si>
  <si>
    <t>VBI</t>
  </si>
  <si>
    <t>Preco</t>
  </si>
  <si>
    <t xml:space="preserve">T O T A A L </t>
  </si>
  <si>
    <t>T O T A A L     B E G R O T I N G</t>
  </si>
  <si>
    <t>Acties voor derden n.a.v. uitwerking aanvraag:</t>
  </si>
  <si>
    <t>K.</t>
  </si>
  <si>
    <t>Het aanleveren van complete revisiegegevens, keuringscertificaten, garantierapporten, etc. bij oplevering.</t>
  </si>
  <si>
    <t>Garantie:</t>
  </si>
  <si>
    <t>J.</t>
  </si>
  <si>
    <t>n.t.b.</t>
  </si>
  <si>
    <t>Betaaltermijn Pleijsier Bouw is 45 dagen na factuurdatum;</t>
  </si>
  <si>
    <t>Financiëel:</t>
  </si>
  <si>
    <t>I.</t>
  </si>
  <si>
    <t>(Prognose)planning:</t>
  </si>
  <si>
    <t>H.</t>
  </si>
  <si>
    <t>samenwerking in BIM op basis van VBI protocol</t>
  </si>
  <si>
    <t>m2</t>
  </si>
  <si>
    <t>Algemeen:</t>
  </si>
  <si>
    <t>F.</t>
  </si>
  <si>
    <t xml:space="preserve"> - Kilometerregistratie van materialen mat 5 ( + grondwerk indien van toepassing.)</t>
  </si>
  <si>
    <t xml:space="preserve"> - Onderbouwde herkomst beton ISO14001 </t>
  </si>
  <si>
    <t>BREEAM :</t>
  </si>
  <si>
    <t>D.</t>
  </si>
  <si>
    <t>.</t>
  </si>
  <si>
    <t>Rechthoekige sparingen minimaal 80 x 80 mm</t>
  </si>
  <si>
    <t>De fabrieksmatig aan te brengen gangbare bouwkundige sparingen met een maximum van 2 stuks per 10 m²</t>
  </si>
  <si>
    <t>-</t>
  </si>
  <si>
    <t>m1</t>
  </si>
  <si>
    <t xml:space="preserve">Kopbeëindiging schuin IVP/HVP 320 groter dan/gelijk aan 30° </t>
  </si>
  <si>
    <t>Rond kruipgat</t>
  </si>
  <si>
    <t xml:space="preserve">EPS wiggen passtrook </t>
  </si>
  <si>
    <t>Klemhuur</t>
  </si>
  <si>
    <t>Zaagkosten schuin</t>
  </si>
  <si>
    <t>st</t>
  </si>
  <si>
    <t>Hijsogen</t>
  </si>
  <si>
    <t>Centraaldoos</t>
  </si>
  <si>
    <t>Sparingen</t>
  </si>
  <si>
    <t>Sleufsparingen</t>
  </si>
  <si>
    <t>op aanvraag</t>
  </si>
  <si>
    <t>Niet standaard raveelijzers; tot 2400 mm</t>
  </si>
  <si>
    <t>zie prijslijst</t>
  </si>
  <si>
    <t>kg</t>
  </si>
  <si>
    <t xml:space="preserve">Standaard raveelijzers, gegalvaniseerde </t>
  </si>
  <si>
    <t xml:space="preserve">Standaard raveelijzers, gemeniede </t>
  </si>
  <si>
    <t xml:space="preserve"> Centreerstrip SBR 40x3 mm t.b.v. HVP 150/200 (rol van 10 m) </t>
  </si>
  <si>
    <t>m</t>
  </si>
  <si>
    <t>40x3 mm</t>
  </si>
  <si>
    <t xml:space="preserve"> - Oplegvilt/centreerstrip</t>
  </si>
  <si>
    <t>- deksels voor kanaalafdichting vloertype 320</t>
  </si>
  <si>
    <t>400 mm</t>
  </si>
  <si>
    <t>- deksels voor kanaalafdichting vloertype 260</t>
  </si>
  <si>
    <t>265 mm</t>
  </si>
  <si>
    <t>- deksels voor kanaalafdichting vloertype 200</t>
  </si>
  <si>
    <t xml:space="preserve"> - Orderkosten</t>
  </si>
  <si>
    <t>Opties/alternatieven:</t>
  </si>
  <si>
    <t>C.</t>
  </si>
  <si>
    <t xml:space="preserve">transport totaal €18.216,- voor al het prefab </t>
  </si>
  <si>
    <t>pst</t>
  </si>
  <si>
    <t xml:space="preserve"> - Transportkosten</t>
  </si>
  <si>
    <t xml:space="preserve"> - Klem ophalen</t>
  </si>
  <si>
    <t xml:space="preserve"> - Pasplaten</t>
  </si>
  <si>
    <t xml:space="preserve"> - Ontwateringsgaatjes</t>
  </si>
  <si>
    <t xml:space="preserve"> - Onderstempelingsvrij</t>
  </si>
  <si>
    <t xml:space="preserve"> - Afwerking bovenzijde opgeruwd </t>
  </si>
  <si>
    <t xml:space="preserve"> - Vloerbelastingen conform opgave hoofdconstructeur WSP</t>
  </si>
  <si>
    <r>
      <rPr>
        <sz val="8"/>
        <color rgb="FFFF0000"/>
        <rFont val="Calibri"/>
        <family val="2"/>
        <scheme val="minor"/>
      </rPr>
      <t xml:space="preserve">110 </t>
    </r>
    <r>
      <rPr>
        <sz val="8"/>
        <rFont val="Calibri"/>
        <family val="2"/>
        <scheme val="minor"/>
      </rPr>
      <t>isolatie; Rc=3.7</t>
    </r>
  </si>
  <si>
    <t>Leveren kanaalplaatvloeren:</t>
  </si>
  <si>
    <t>Leveren kanaalplaatvloeren</t>
  </si>
  <si>
    <t>B.</t>
  </si>
  <si>
    <t>Uitgangspunten (beschikbaar gestelde informatie):</t>
  </si>
  <si>
    <t>A.</t>
  </si>
  <si>
    <t xml:space="preserve">Waar inclusief staat, of een bedrag dan is dit opgenomen in de totaalsom, of akkoord bevonden door de opdrachtnemer. </t>
  </si>
  <si>
    <t>232 kanaalplaatvloeren</t>
  </si>
  <si>
    <t>opmerking</t>
  </si>
  <si>
    <t>totaal</t>
  </si>
  <si>
    <t>prijs/eenh.</t>
  </si>
  <si>
    <t>eenh.</t>
  </si>
  <si>
    <t>hoev.</t>
  </si>
  <si>
    <t>Leveren en aanbrengen van prefab beton verdiepingsvloeren overeenkomstig genoemde uitgangspunten (hoofdstuk 23.00 van technische omschrijving), inclusief onderstaande opmerkingen/aanvullingen:</t>
  </si>
  <si>
    <t>onderdeel</t>
  </si>
  <si>
    <t>Datum:</t>
  </si>
  <si>
    <t>ML</t>
  </si>
  <si>
    <t>Opsteller:</t>
  </si>
  <si>
    <t>Gewijzigd:</t>
  </si>
  <si>
    <t>Projectnr:</t>
  </si>
  <si>
    <t>Hoofddorp Segro</t>
  </si>
  <si>
    <t>Projectnaam:</t>
  </si>
  <si>
    <t>Olbecon</t>
  </si>
  <si>
    <t>Bedrijf:</t>
  </si>
  <si>
    <t>nieuwpoort</t>
  </si>
  <si>
    <t>Kanaalplaatvloeren</t>
  </si>
  <si>
    <t>Onderdeel:</t>
  </si>
  <si>
    <t>O F F E R T E / A A N B I E D I N G</t>
  </si>
  <si>
    <t xml:space="preserve">W E R K O M S C H R I J V I N G </t>
  </si>
  <si>
    <t>B E G R O O T</t>
  </si>
  <si>
    <t>Portiersloge; 200mm +130 EPSmm</t>
  </si>
  <si>
    <t>17,2</t>
  </si>
  <si>
    <t>240</t>
  </si>
  <si>
    <t>55,5</t>
  </si>
  <si>
    <t>1e verdieping mezzanine; 320 mm, 30 min brandwerend</t>
  </si>
  <si>
    <t>2e verdieping technische ruimte; 320 mm, 30 min brandwerend</t>
  </si>
  <si>
    <t>465</t>
  </si>
  <si>
    <t>147</t>
  </si>
  <si>
    <t>1e verdieping mezzanine; 320 mm, 60 min brandwerend</t>
  </si>
  <si>
    <t>2e verdieping kantoor; 320 mm, 30 min brandwerend</t>
  </si>
  <si>
    <t xml:space="preserve"> - Gevolgklasse volgens constructeur</t>
  </si>
  <si>
    <t xml:space="preserve"> -  Elektradozen</t>
  </si>
  <si>
    <t>inclusief 1 sparing of centraaldoos per 10 m2 per nivo</t>
  </si>
  <si>
    <t>orderkosten isolatievloer</t>
  </si>
  <si>
    <t>uitwerken in 3D</t>
  </si>
  <si>
    <t>deksels voor kanaalafdichting</t>
  </si>
  <si>
    <t>huur klem</t>
  </si>
  <si>
    <t>raveelijzers; kruipgaten</t>
  </si>
  <si>
    <t>sparingen</t>
  </si>
  <si>
    <t>aankoop kanaalplaatvloeren dak energieplein dik 260mm</t>
  </si>
  <si>
    <t>aankoop kanaalplaatvloeren kantoor dik 320mm, 4kN/m2</t>
  </si>
  <si>
    <t>aankoop kanaalplaatvloeren kantoor / mezzanine dik 320mm, 10kN/m2</t>
  </si>
  <si>
    <t>huur hijsklem</t>
  </si>
  <si>
    <t>kanaaldeksels 10 per plaat)</t>
  </si>
  <si>
    <t>oplegvilt</t>
  </si>
  <si>
    <t>overige sparingen en voorzieningen</t>
  </si>
  <si>
    <t>tijdelijke randbeveiliging en klembalusters</t>
  </si>
  <si>
    <t>staalplaat betonvloer balkon</t>
  </si>
  <si>
    <t>Verlengde verjonging kopoplegging</t>
  </si>
  <si>
    <t xml:space="preserve">Kopbeëindiging schuin IVP/HVP 150/200 groter dan/gelijk aan 30° </t>
  </si>
  <si>
    <t>IFC 220922_Segro Hoofddorp_coordinaitemodel</t>
  </si>
  <si>
    <t>kruipgaten</t>
  </si>
  <si>
    <t>Geisoleerde kanaalplaatvloer</t>
  </si>
  <si>
    <r>
      <t>Bouwkundige stukken conform</t>
    </r>
    <r>
      <rPr>
        <sz val="8"/>
        <color theme="5"/>
        <rFont val="Calibri"/>
        <family val="2"/>
        <scheme val="minor"/>
      </rPr>
      <t xml:space="preserve"> </t>
    </r>
    <r>
      <rPr>
        <sz val="8"/>
        <rFont val="Calibri"/>
        <family val="2"/>
        <scheme val="minor"/>
      </rPr>
      <t>(zie 12build) laatste tekeningen 15-07-2022+IFC</t>
    </r>
  </si>
  <si>
    <t xml:space="preserve">Constructieve stukken (zie 12build) laatste tekeningen 22-06-2022+ IFC </t>
  </si>
  <si>
    <t>Technische omschrijving Segro (Denc) d.d. 26-04-2022</t>
  </si>
  <si>
    <t>BREEAM Creditlijst Linnenman d.d. 07-06-22</t>
  </si>
  <si>
    <t>24912_SEGRO_Corporate_HealthSafetyInConstruction_DUTCH(11986704.1).pdf</t>
  </si>
  <si>
    <t>Totaalrapport duurzaam inkoopbeleid</t>
  </si>
  <si>
    <t>Op de bouwplaats wordt gebruik gemaakt van bouwplaats check-in</t>
  </si>
  <si>
    <t>1e verdieping; kantoor 320 mm, 30 min brandwerend</t>
  </si>
  <si>
    <t>Begane grond; 200mm +130 EPSmm (as A-E/1-1.2)</t>
  </si>
  <si>
    <t>Dak energieplein; 260mm 60 min brandwerend (as G-H/1-2)</t>
  </si>
  <si>
    <t>Balkonvloer; 150 mm (as 1/1.1-2)</t>
  </si>
  <si>
    <t>Excellent 2020</t>
  </si>
  <si>
    <t xml:space="preserve"> - Zie Totaalrapport duurzaam inkoopbeleid voor de eis en de leveranciers die voldoeen aan het gevraagde aantal RSCS punten. </t>
  </si>
  <si>
    <t xml:space="preserve"> - materialen voldoen aan breeam mat 5 en totaalrapport</t>
  </si>
  <si>
    <t>In deeltermijnen bij leveringen</t>
  </si>
  <si>
    <t>Conform technische Omschrijving</t>
  </si>
  <si>
    <t>Beide voorwaarden niet van toepassing bij een geschil geldt nederlands recht</t>
  </si>
  <si>
    <t>Levering in Q1- 2023</t>
  </si>
  <si>
    <t>verrekenbaar</t>
  </si>
  <si>
    <t>NVT</t>
  </si>
  <si>
    <t>VBI krijgt tekeningen per email aangereikt en PB zal tekeningen van VBI op docstream plaatsen</t>
  </si>
  <si>
    <t>door PB</t>
  </si>
  <si>
    <t>3</t>
  </si>
  <si>
    <t>Prijsvast tot 31-6-2023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</si>
</sst>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 #,##0.00_-;_-&quot;€&quot;\ * #,##0.00\-;_-&quot;€&quot;\ * &quot;-&quot;??_-;_-@_-"/>
    <numFmt numFmtId="165" formatCode="_-* #,##0.00_-;_-* #,##0.00\-;_-* &quot;-&quot;??_-;_-@_-"/>
    <numFmt numFmtId="166" formatCode="0.0%"/>
    <numFmt numFmtId="167" formatCode="_ [$€-413]\ * #,##0.00_ ;_ [$€-413]\ * \-#,##0.00_ ;_ [$€-413]\ * &quot;-&quot;??_ ;_ @_ "/>
    <numFmt numFmtId="168" formatCode="0.0"/>
  </numFmts>
  <fonts count="43" x14ac:knownFonts="1">
    <font>
      <sz val="8"/>
      <name val="Helvetica"/>
      <family val="2"/>
    </font>
    <font>
      <sz val="8"/>
      <name val="Helvetica"/>
      <family val="2"/>
    </font>
    <font>
      <b/>
      <sz val="8"/>
      <color rgb="FFFF0000"/>
      <name val="Helvetica"/>
    </font>
    <font>
      <b/>
      <sz val="8"/>
      <color theme="1"/>
      <name val="Calibri"/>
      <family val="2"/>
      <scheme val="minor"/>
    </font>
    <font>
      <sz val="8"/>
      <color rgb="FF000000"/>
      <name val="Calibri"/>
      <family val="2"/>
    </font>
    <font>
      <sz val="8"/>
      <color rgb="FFF79646"/>
      <name val="Calibri"/>
      <family val="2"/>
    </font>
    <font>
      <sz val="8"/>
      <color theme="1"/>
      <name val="Calibri"/>
      <family val="2"/>
      <scheme val="minor"/>
    </font>
    <font>
      <sz val="9"/>
      <color theme="1"/>
      <name val="Calibri"/>
      <family val="2"/>
      <scheme val="minor"/>
    </font>
    <font>
      <sz val="8"/>
      <color rgb="FF7030A0"/>
      <name val="Calibri"/>
      <family val="2"/>
    </font>
    <font>
      <sz val="8"/>
      <name val="Calibri"/>
      <family val="2"/>
    </font>
    <font>
      <b/>
      <sz val="11"/>
      <color indexed="8"/>
      <name val="Calibri"/>
      <family val="2"/>
      <scheme val="minor"/>
    </font>
    <font>
      <sz val="8"/>
      <color rgb="FFFF0000"/>
      <name val="Calibri"/>
      <family val="2"/>
    </font>
    <font>
      <b/>
      <sz val="8"/>
      <color theme="0"/>
      <name val="Calibri"/>
      <family val="2"/>
      <scheme val="minor"/>
    </font>
    <font>
      <sz val="8"/>
      <color theme="0"/>
      <name val="Calibri"/>
      <family val="2"/>
      <scheme val="minor"/>
    </font>
    <font>
      <b/>
      <i/>
      <sz val="10"/>
      <color theme="0"/>
      <name val="Calibri"/>
      <family val="2"/>
      <scheme val="minor"/>
    </font>
    <font>
      <sz val="8"/>
      <name val="Calibri"/>
      <family val="2"/>
      <scheme val="minor"/>
    </font>
    <font>
      <sz val="8"/>
      <color theme="0" tint="-0.14999847407452621"/>
      <name val="Calibri"/>
      <family val="2"/>
      <scheme val="minor"/>
    </font>
    <font>
      <i/>
      <sz val="8"/>
      <name val="Calibri"/>
      <family val="2"/>
      <scheme val="minor"/>
    </font>
    <font>
      <b/>
      <u/>
      <sz val="12"/>
      <color theme="1"/>
      <name val="Calibri"/>
      <family val="2"/>
      <scheme val="minor"/>
    </font>
    <font>
      <b/>
      <i/>
      <sz val="8"/>
      <color rgb="FF0267B0"/>
      <name val="Calibri"/>
      <family val="2"/>
      <scheme val="minor"/>
    </font>
    <font>
      <sz val="10"/>
      <name val="Tahoma"/>
      <family val="2"/>
    </font>
    <font>
      <sz val="9"/>
      <name val="Calibri"/>
      <family val="2"/>
      <scheme val="minor"/>
    </font>
    <font>
      <sz val="10"/>
      <color theme="1"/>
      <name val="Calibri"/>
      <family val="2"/>
      <scheme val="minor"/>
    </font>
    <font>
      <b/>
      <sz val="9"/>
      <color theme="1"/>
      <name val="Calibri"/>
      <family val="2"/>
      <scheme val="minor"/>
    </font>
    <font>
      <b/>
      <sz val="10"/>
      <color theme="1"/>
      <name val="Calibri"/>
      <family val="2"/>
      <scheme val="minor"/>
    </font>
    <font>
      <b/>
      <sz val="26"/>
      <color rgb="FFFF0000"/>
      <name val="Calibri"/>
      <family val="2"/>
      <scheme val="minor"/>
    </font>
    <font>
      <b/>
      <sz val="8"/>
      <name val="Calibri"/>
      <family val="2"/>
      <scheme val="minor"/>
    </font>
    <font>
      <u/>
      <sz val="8"/>
      <color theme="1"/>
      <name val="Calibri"/>
      <family val="2"/>
      <scheme val="minor"/>
    </font>
    <font>
      <i/>
      <sz val="8"/>
      <color theme="1"/>
      <name val="Calibri"/>
      <family val="2"/>
      <scheme val="minor"/>
    </font>
    <font>
      <sz val="8"/>
      <color rgb="FFFF0000"/>
      <name val="Calibri"/>
      <family val="2"/>
      <scheme val="minor"/>
    </font>
    <font>
      <b/>
      <u/>
      <sz val="8"/>
      <name val="Calibri"/>
      <family val="2"/>
      <scheme val="minor"/>
    </font>
    <font>
      <b/>
      <i/>
      <sz val="8"/>
      <color rgb="FFFF0000"/>
      <name val="Calibri"/>
      <family val="2"/>
      <scheme val="minor"/>
    </font>
    <font>
      <b/>
      <i/>
      <sz val="8"/>
      <name val="Calibri"/>
      <family val="2"/>
      <scheme val="minor"/>
    </font>
    <font>
      <b/>
      <sz val="8"/>
      <color rgb="FF0070C0"/>
      <name val="Calibri"/>
      <family val="2"/>
      <scheme val="minor"/>
    </font>
    <font>
      <b/>
      <sz val="10"/>
      <color theme="9" tint="-0.249977111117893"/>
      <name val="Calibri"/>
      <family val="2"/>
      <scheme val="minor"/>
    </font>
    <font>
      <sz val="10"/>
      <name val="Calibri"/>
      <family val="2"/>
      <scheme val="minor"/>
    </font>
    <font>
      <sz val="10"/>
      <color theme="0" tint="-0.499984740745262"/>
      <name val="Calibri"/>
      <family val="2"/>
      <scheme val="minor"/>
    </font>
    <font>
      <b/>
      <sz val="10"/>
      <color rgb="FF0070C0"/>
      <name val="Calibri"/>
      <family val="2"/>
      <scheme val="minor"/>
    </font>
    <font>
      <sz val="10"/>
      <color theme="0"/>
      <name val="Calibri"/>
      <family val="2"/>
      <scheme val="minor"/>
    </font>
    <font>
      <b/>
      <sz val="10"/>
      <color theme="0"/>
      <name val="Calibri"/>
      <family val="2"/>
      <scheme val="minor"/>
    </font>
    <font>
      <i/>
      <sz val="10"/>
      <color theme="0"/>
      <name val="Calibri"/>
      <family val="2"/>
      <scheme val="minor"/>
    </font>
    <font>
      <sz val="8"/>
      <color theme="4"/>
      <name val="Calibri"/>
      <family val="2"/>
      <scheme val="minor"/>
    </font>
    <font>
      <sz val="8"/>
      <color theme="5"/>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rgb="FF0267B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40">
    <border>
      <left/>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top style="hair">
        <color indexed="64"/>
      </top>
      <bottom/>
      <diagonal/>
    </border>
    <border>
      <left style="thin">
        <color indexed="64"/>
      </left>
      <right/>
      <top style="hair">
        <color indexed="64"/>
      </top>
      <bottom/>
      <diagonal/>
    </border>
    <border>
      <left/>
      <right style="thin">
        <color indexed="64"/>
      </right>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bottom style="thin">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cellStyleXfs>
  <cellXfs count="335">
    <xf numFmtId="0" fontId="0" fillId="0" borderId="0" xfId="0"/>
    <xf numFmtId="0" fontId="2" fillId="0" borderId="0" xfId="0" applyFont="1"/>
    <xf numFmtId="164" fontId="3" fillId="0" borderId="0" xfId="2" applyFont="1" applyFill="1" applyBorder="1"/>
    <xf numFmtId="9" fontId="3" fillId="0" borderId="0" xfId="3" applyFont="1" applyFill="1" applyBorder="1"/>
    <xf numFmtId="0" fontId="3" fillId="0" borderId="0" xfId="0" applyFont="1"/>
    <xf numFmtId="0" fontId="4" fillId="0" borderId="0" xfId="0" applyFont="1"/>
    <xf numFmtId="0" fontId="5" fillId="0" borderId="1" xfId="0" applyFont="1" applyBorder="1" applyAlignment="1">
      <alignment horizontal="right"/>
    </xf>
    <xf numFmtId="0" fontId="4" fillId="0" borderId="2" xfId="0" applyFont="1" applyBorder="1" applyAlignment="1">
      <alignment horizontal="center"/>
    </xf>
    <xf numFmtId="0" fontId="5" fillId="0" borderId="3" xfId="0" applyFont="1" applyBorder="1" applyAlignment="1">
      <alignment horizontal="right"/>
    </xf>
    <xf numFmtId="0" fontId="6" fillId="0" borderId="0" xfId="0" applyFont="1" applyAlignment="1">
      <alignment horizontal="center"/>
    </xf>
    <xf numFmtId="0" fontId="6" fillId="0" borderId="0" xfId="0" applyFont="1"/>
    <xf numFmtId="49" fontId="6" fillId="0" borderId="0" xfId="0" applyNumberFormat="1" applyFont="1"/>
    <xf numFmtId="164" fontId="6" fillId="0" borderId="0" xfId="0" applyNumberFormat="1" applyFont="1"/>
    <xf numFmtId="9" fontId="7" fillId="0" borderId="0" xfId="0" applyNumberFormat="1" applyFont="1"/>
    <xf numFmtId="0" fontId="5" fillId="0" borderId="0" xfId="0" applyFont="1" applyAlignment="1">
      <alignment horizontal="right"/>
    </xf>
    <xf numFmtId="0" fontId="4" fillId="0" borderId="4" xfId="0" applyFont="1" applyBorder="1" applyAlignment="1">
      <alignment horizontal="center"/>
    </xf>
    <xf numFmtId="49" fontId="4" fillId="0" borderId="0" xfId="0" applyNumberFormat="1" applyFont="1" applyAlignment="1">
      <alignment wrapText="1"/>
    </xf>
    <xf numFmtId="0" fontId="5" fillId="0" borderId="5" xfId="0" applyFont="1" applyBorder="1" applyAlignment="1">
      <alignment horizontal="right"/>
    </xf>
    <xf numFmtId="0" fontId="8" fillId="0" borderId="0" xfId="0" applyFont="1" applyAlignment="1">
      <alignment horizontal="center"/>
    </xf>
    <xf numFmtId="0" fontId="8" fillId="0" borderId="5" xfId="0" applyFont="1" applyBorder="1" applyAlignment="1">
      <alignment horizontal="center"/>
    </xf>
    <xf numFmtId="0" fontId="4" fillId="0" borderId="0" xfId="0" applyFont="1" applyAlignment="1">
      <alignment horizontal="right"/>
    </xf>
    <xf numFmtId="0" fontId="4" fillId="0" borderId="5" xfId="0" applyFont="1" applyBorder="1" applyAlignment="1">
      <alignment horizontal="right"/>
    </xf>
    <xf numFmtId="0" fontId="9" fillId="0" borderId="0" xfId="0" applyFont="1" applyAlignment="1">
      <alignment horizontal="right"/>
    </xf>
    <xf numFmtId="0" fontId="9" fillId="0" borderId="5" xfId="0" applyFont="1" applyBorder="1" applyAlignment="1">
      <alignment horizontal="right"/>
    </xf>
    <xf numFmtId="0" fontId="10" fillId="0" borderId="0" xfId="0" applyFont="1"/>
    <xf numFmtId="0" fontId="11" fillId="0" borderId="0" xfId="0" applyFont="1"/>
    <xf numFmtId="0" fontId="11" fillId="0" borderId="5" xfId="0" applyFont="1" applyBorder="1"/>
    <xf numFmtId="164" fontId="5" fillId="0" borderId="0" xfId="2" applyFont="1" applyFill="1" applyBorder="1" applyAlignment="1" applyProtection="1">
      <alignment horizontal="right" wrapText="1"/>
    </xf>
    <xf numFmtId="164" fontId="5" fillId="0" borderId="5" xfId="2" applyFont="1" applyFill="1" applyBorder="1" applyAlignment="1" applyProtection="1">
      <alignment horizontal="right" wrapText="1"/>
    </xf>
    <xf numFmtId="164" fontId="12" fillId="0" borderId="0" xfId="0" applyNumberFormat="1" applyFont="1"/>
    <xf numFmtId="0" fontId="12" fillId="0" borderId="0" xfId="0" applyFont="1" applyAlignment="1">
      <alignment horizontal="right"/>
    </xf>
    <xf numFmtId="0" fontId="13" fillId="0" borderId="0" xfId="0" applyFont="1"/>
    <xf numFmtId="49" fontId="14" fillId="0" borderId="0" xfId="0" applyNumberFormat="1" applyFont="1" applyAlignment="1">
      <alignment horizontal="left"/>
    </xf>
    <xf numFmtId="164" fontId="4" fillId="0" borderId="0" xfId="2" applyFont="1" applyFill="1" applyBorder="1" applyAlignment="1" applyProtection="1">
      <alignment horizontal="right" wrapText="1"/>
    </xf>
    <xf numFmtId="164" fontId="4" fillId="0" borderId="5" xfId="2" applyFont="1" applyFill="1" applyBorder="1" applyAlignment="1" applyProtection="1">
      <alignment horizontal="right" wrapText="1"/>
    </xf>
    <xf numFmtId="164" fontId="6" fillId="0" borderId="0" xfId="2" applyFont="1" applyFill="1" applyBorder="1" applyAlignment="1" applyProtection="1">
      <alignment horizontal="right" wrapText="1"/>
    </xf>
    <xf numFmtId="165" fontId="6" fillId="0" borderId="0" xfId="1" applyFont="1" applyFill="1" applyBorder="1" applyAlignment="1" applyProtection="1">
      <alignment horizontal="center" wrapText="1"/>
    </xf>
    <xf numFmtId="0" fontId="15" fillId="0" borderId="0" xfId="0" applyFont="1" applyAlignment="1">
      <alignment horizontal="center"/>
    </xf>
    <xf numFmtId="0" fontId="15" fillId="0" borderId="0" xfId="0" applyFont="1"/>
    <xf numFmtId="164" fontId="8" fillId="0" borderId="0" xfId="2" applyFont="1" applyFill="1" applyBorder="1" applyAlignment="1" applyProtection="1">
      <alignment horizontal="center" wrapText="1"/>
    </xf>
    <xf numFmtId="164" fontId="8" fillId="0" borderId="5" xfId="2" applyFont="1" applyFill="1" applyBorder="1" applyAlignment="1" applyProtection="1">
      <alignment horizontal="center" wrapText="1"/>
    </xf>
    <xf numFmtId="49" fontId="6" fillId="0" borderId="0" xfId="0" quotePrefix="1" applyNumberFormat="1" applyFont="1" applyAlignment="1">
      <alignment horizontal="left" vertical="top"/>
    </xf>
    <xf numFmtId="164" fontId="11" fillId="0" borderId="0" xfId="2" applyFont="1" applyFill="1" applyBorder="1" applyAlignment="1" applyProtection="1">
      <alignment horizontal="left" wrapText="1"/>
    </xf>
    <xf numFmtId="164" fontId="11" fillId="0" borderId="5" xfId="2" applyFont="1" applyFill="1" applyBorder="1" applyAlignment="1" applyProtection="1">
      <alignment horizontal="left" wrapText="1"/>
    </xf>
    <xf numFmtId="164" fontId="4" fillId="0" borderId="6" xfId="2" applyFont="1" applyFill="1" applyBorder="1" applyAlignment="1" applyProtection="1">
      <alignment horizontal="right" wrapText="1"/>
    </xf>
    <xf numFmtId="0" fontId="4" fillId="0" borderId="7" xfId="0" applyFont="1" applyBorder="1" applyAlignment="1">
      <alignment horizontal="center"/>
    </xf>
    <xf numFmtId="164" fontId="4" fillId="0" borderId="8" xfId="2" applyFont="1" applyFill="1" applyBorder="1" applyAlignment="1" applyProtection="1">
      <alignment horizontal="right" wrapText="1"/>
    </xf>
    <xf numFmtId="49" fontId="6" fillId="0" borderId="0" xfId="0" applyNumberFormat="1" applyFont="1" applyAlignment="1">
      <alignment vertical="center" wrapText="1"/>
    </xf>
    <xf numFmtId="165" fontId="6" fillId="0" borderId="0" xfId="1" applyFont="1" applyFill="1" applyBorder="1" applyAlignment="1" applyProtection="1">
      <alignment horizontal="center"/>
    </xf>
    <xf numFmtId="49" fontId="6" fillId="0" borderId="0" xfId="0" applyNumberFormat="1" applyFont="1" applyAlignment="1">
      <alignment vertical="top"/>
    </xf>
    <xf numFmtId="164" fontId="6" fillId="0" borderId="0" xfId="2" applyFont="1" applyFill="1" applyBorder="1" applyAlignment="1" applyProtection="1">
      <alignment horizontal="right" vertical="top"/>
    </xf>
    <xf numFmtId="165" fontId="6" fillId="0" borderId="0" xfId="1" applyFont="1" applyFill="1" applyBorder="1" applyAlignment="1" applyProtection="1">
      <alignment horizontal="right" vertical="top"/>
    </xf>
    <xf numFmtId="0" fontId="6" fillId="0" borderId="0" xfId="0" applyFont="1" applyAlignment="1">
      <alignment horizontal="center" vertical="center"/>
    </xf>
    <xf numFmtId="164" fontId="16" fillId="0" borderId="0" xfId="2" applyFont="1" applyFill="1" applyBorder="1" applyAlignment="1" applyProtection="1">
      <alignment horizontal="right" wrapText="1"/>
    </xf>
    <xf numFmtId="0" fontId="17" fillId="0" borderId="0" xfId="0" applyFont="1" applyAlignment="1">
      <alignment horizontal="center"/>
    </xf>
    <xf numFmtId="49" fontId="18" fillId="0" borderId="0" xfId="0" applyNumberFormat="1" applyFont="1" applyAlignment="1">
      <alignment horizontal="left" vertical="top"/>
    </xf>
    <xf numFmtId="49" fontId="15" fillId="0" borderId="0" xfId="4" applyNumberFormat="1" applyFont="1" applyAlignment="1">
      <alignment horizontal="center"/>
    </xf>
    <xf numFmtId="49" fontId="15" fillId="0" borderId="0" xfId="4" applyNumberFormat="1" applyFont="1"/>
    <xf numFmtId="164" fontId="3" fillId="2" borderId="9" xfId="0" applyNumberFormat="1" applyFont="1" applyFill="1" applyBorder="1"/>
    <xf numFmtId="0" fontId="6" fillId="2" borderId="10" xfId="0" applyFont="1" applyFill="1" applyBorder="1"/>
    <xf numFmtId="0" fontId="3" fillId="2" borderId="11" xfId="0" applyFont="1" applyFill="1" applyBorder="1"/>
    <xf numFmtId="49" fontId="15" fillId="0" borderId="0" xfId="4" applyNumberFormat="1" applyFont="1" applyAlignment="1">
      <alignment horizontal="left"/>
    </xf>
    <xf numFmtId="166" fontId="6" fillId="0" borderId="12" xfId="3" applyNumberFormat="1" applyFont="1" applyBorder="1" applyProtection="1"/>
    <xf numFmtId="0" fontId="6" fillId="0" borderId="13" xfId="0" applyFont="1" applyBorder="1"/>
    <xf numFmtId="164" fontId="6" fillId="0" borderId="14" xfId="0" applyNumberFormat="1" applyFont="1" applyBorder="1"/>
    <xf numFmtId="0" fontId="6" fillId="0" borderId="15" xfId="0" applyFont="1" applyBorder="1"/>
    <xf numFmtId="49" fontId="19" fillId="0" borderId="16" xfId="0" applyNumberFormat="1" applyFont="1" applyBorder="1"/>
    <xf numFmtId="0" fontId="6" fillId="0" borderId="17" xfId="0" applyFont="1" applyBorder="1"/>
    <xf numFmtId="49" fontId="6" fillId="0" borderId="13" xfId="0" applyNumberFormat="1" applyFont="1" applyBorder="1"/>
    <xf numFmtId="1" fontId="6" fillId="0" borderId="0" xfId="0" applyNumberFormat="1" applyFont="1"/>
    <xf numFmtId="49" fontId="6" fillId="0" borderId="0" xfId="0" applyNumberFormat="1" applyFont="1" applyAlignment="1">
      <alignment horizontal="left" vertical="center" wrapText="1"/>
    </xf>
    <xf numFmtId="4" fontId="6" fillId="0" borderId="0" xfId="0" applyNumberFormat="1" applyFont="1" applyAlignment="1">
      <alignment horizontal="right" vertical="center"/>
    </xf>
    <xf numFmtId="166" fontId="20" fillId="0" borderId="0" xfId="3" applyNumberFormat="1" applyFont="1" applyBorder="1" applyAlignment="1" applyProtection="1">
      <alignment vertical="center"/>
    </xf>
    <xf numFmtId="167" fontId="21" fillId="0" borderId="0" xfId="0" applyNumberFormat="1" applyFont="1" applyAlignment="1">
      <alignment horizontal="left" vertical="center"/>
    </xf>
    <xf numFmtId="166" fontId="3" fillId="2" borderId="10" xfId="3" applyNumberFormat="1" applyFont="1" applyFill="1" applyBorder="1" applyProtection="1"/>
    <xf numFmtId="0" fontId="3" fillId="2" borderId="10" xfId="0" applyFont="1" applyFill="1" applyBorder="1"/>
    <xf numFmtId="166" fontId="6" fillId="0" borderId="12" xfId="3" applyNumberFormat="1" applyFont="1" applyFill="1" applyBorder="1" applyProtection="1"/>
    <xf numFmtId="164" fontId="22" fillId="0" borderId="0" xfId="2" applyFont="1" applyFill="1" applyBorder="1" applyAlignment="1" applyProtection="1">
      <alignment horizontal="center"/>
    </xf>
    <xf numFmtId="0" fontId="23" fillId="0" borderId="0" xfId="0" applyFont="1" applyAlignment="1">
      <alignment horizontal="center"/>
    </xf>
    <xf numFmtId="164" fontId="22" fillId="0" borderId="0" xfId="2" applyFont="1" applyBorder="1" applyAlignment="1" applyProtection="1">
      <alignment horizontal="center"/>
    </xf>
    <xf numFmtId="49" fontId="6" fillId="0" borderId="0" xfId="0" applyNumberFormat="1" applyFont="1" applyAlignment="1">
      <alignment wrapText="1"/>
    </xf>
    <xf numFmtId="4" fontId="6" fillId="0" borderId="0" xfId="0" applyNumberFormat="1" applyFont="1" applyAlignment="1">
      <alignment horizontal="center"/>
    </xf>
    <xf numFmtId="4" fontId="6" fillId="0" borderId="0" xfId="0" applyNumberFormat="1" applyFont="1"/>
    <xf numFmtId="0" fontId="19" fillId="0" borderId="13" xfId="0" applyFont="1" applyBorder="1"/>
    <xf numFmtId="164" fontId="24" fillId="0" borderId="0" xfId="2" applyFont="1" applyFill="1" applyBorder="1" applyAlignment="1" applyProtection="1">
      <alignment horizontal="center"/>
    </xf>
    <xf numFmtId="164" fontId="24" fillId="0" borderId="0" xfId="2" applyFont="1" applyBorder="1" applyAlignment="1" applyProtection="1">
      <alignment horizontal="center"/>
    </xf>
    <xf numFmtId="0" fontId="25" fillId="0" borderId="0" xfId="0" applyFont="1"/>
    <xf numFmtId="164" fontId="12" fillId="3" borderId="17" xfId="0" applyNumberFormat="1" applyFont="1" applyFill="1" applyBorder="1"/>
    <xf numFmtId="0" fontId="12" fillId="3" borderId="15" xfId="0" applyFont="1" applyFill="1" applyBorder="1" applyAlignment="1">
      <alignment horizontal="right"/>
    </xf>
    <xf numFmtId="0" fontId="13" fillId="3" borderId="15" xfId="0" applyFont="1" applyFill="1" applyBorder="1"/>
    <xf numFmtId="49" fontId="14" fillId="3" borderId="16" xfId="0" applyNumberFormat="1" applyFont="1" applyFill="1" applyBorder="1" applyAlignment="1">
      <alignment horizontal="left"/>
    </xf>
    <xf numFmtId="164" fontId="15" fillId="0" borderId="0" xfId="2" applyFont="1" applyFill="1" applyBorder="1" applyAlignment="1" applyProtection="1">
      <alignment horizontal="right" vertical="top"/>
    </xf>
    <xf numFmtId="165" fontId="15" fillId="0" borderId="0" xfId="1" applyFont="1" applyFill="1" applyBorder="1" applyAlignment="1" applyProtection="1">
      <alignment horizontal="right" vertical="top"/>
    </xf>
    <xf numFmtId="0" fontId="15" fillId="0" borderId="0" xfId="0" applyFont="1" applyAlignment="1">
      <alignment horizontal="center" vertical="center"/>
    </xf>
    <xf numFmtId="49" fontId="15" fillId="0" borderId="0" xfId="0" applyNumberFormat="1" applyFont="1" applyAlignment="1">
      <alignment horizontal="left" vertical="center"/>
    </xf>
    <xf numFmtId="164" fontId="6" fillId="0" borderId="0" xfId="2" applyFont="1" applyBorder="1" applyAlignment="1" applyProtection="1">
      <alignment horizontal="center"/>
    </xf>
    <xf numFmtId="0" fontId="3" fillId="0" borderId="0" xfId="0" applyFont="1" applyAlignment="1">
      <alignment horizontal="center"/>
    </xf>
    <xf numFmtId="165" fontId="26" fillId="0" borderId="0" xfId="1" applyFont="1" applyFill="1" applyBorder="1" applyAlignment="1" applyProtection="1">
      <alignment horizontal="right" vertical="top"/>
    </xf>
    <xf numFmtId="49" fontId="6" fillId="0" borderId="18" xfId="0" applyNumberFormat="1" applyFont="1" applyBorder="1"/>
    <xf numFmtId="0" fontId="6" fillId="0" borderId="19" xfId="0" applyFont="1" applyBorder="1" applyAlignment="1">
      <alignment horizontal="center"/>
    </xf>
    <xf numFmtId="0" fontId="17" fillId="0" borderId="20" xfId="0" applyFont="1" applyBorder="1" applyAlignment="1">
      <alignment horizontal="center"/>
    </xf>
    <xf numFmtId="0" fontId="15" fillId="0" borderId="20" xfId="0" applyFont="1" applyBorder="1" applyAlignment="1">
      <alignment horizontal="center"/>
    </xf>
    <xf numFmtId="164" fontId="6" fillId="0" borderId="19" xfId="2" applyFont="1" applyFill="1" applyBorder="1" applyAlignment="1" applyProtection="1">
      <alignment horizontal="right" wrapText="1"/>
    </xf>
    <xf numFmtId="0" fontId="15" fillId="0" borderId="21" xfId="0" applyFont="1" applyBorder="1" applyAlignment="1">
      <alignment horizontal="center"/>
    </xf>
    <xf numFmtId="164" fontId="6" fillId="0" borderId="19" xfId="2" applyFont="1" applyFill="1" applyBorder="1" applyAlignment="1" applyProtection="1">
      <alignment horizontal="right" vertical="top"/>
    </xf>
    <xf numFmtId="165" fontId="13" fillId="0" borderId="20" xfId="1" applyFont="1" applyFill="1" applyBorder="1" applyAlignment="1" applyProtection="1">
      <alignment horizontal="right" vertical="top"/>
    </xf>
    <xf numFmtId="0" fontId="6" fillId="0" borderId="20" xfId="0" applyFont="1" applyBorder="1" applyAlignment="1">
      <alignment horizontal="center" vertical="center"/>
    </xf>
    <xf numFmtId="165" fontId="6" fillId="0" borderId="20" xfId="1" applyFont="1" applyFill="1" applyBorder="1" applyAlignment="1" applyProtection="1">
      <alignment horizontal="right" vertical="top"/>
    </xf>
    <xf numFmtId="49" fontId="6" fillId="0" borderId="21" xfId="0" quotePrefix="1" applyNumberFormat="1" applyFont="1" applyBorder="1" applyAlignment="1">
      <alignment horizontal="left" vertical="center"/>
    </xf>
    <xf numFmtId="49" fontId="6" fillId="4" borderId="22" xfId="0" applyNumberFormat="1" applyFont="1" applyFill="1" applyBorder="1"/>
    <xf numFmtId="0" fontId="6" fillId="4" borderId="23" xfId="0" applyFont="1" applyFill="1" applyBorder="1" applyAlignment="1">
      <alignment horizontal="right"/>
    </xf>
    <xf numFmtId="0" fontId="17" fillId="4" borderId="24" xfId="0" applyFont="1" applyFill="1" applyBorder="1" applyAlignment="1">
      <alignment horizontal="center"/>
    </xf>
    <xf numFmtId="0" fontId="15" fillId="4" borderId="24" xfId="0" applyFont="1" applyFill="1" applyBorder="1" applyAlignment="1">
      <alignment horizontal="center"/>
    </xf>
    <xf numFmtId="164" fontId="16" fillId="4" borderId="23" xfId="2" applyFont="1" applyFill="1" applyBorder="1" applyAlignment="1" applyProtection="1">
      <alignment horizontal="right" wrapText="1"/>
    </xf>
    <xf numFmtId="0" fontId="15" fillId="4" borderId="25" xfId="0" applyFont="1" applyFill="1" applyBorder="1" applyAlignment="1">
      <alignment horizontal="center"/>
    </xf>
    <xf numFmtId="0" fontId="6" fillId="4" borderId="12" xfId="0" applyFont="1" applyFill="1" applyBorder="1"/>
    <xf numFmtId="164" fontId="6" fillId="0" borderId="26" xfId="2" applyFont="1" applyFill="1" applyBorder="1" applyAlignment="1" applyProtection="1">
      <alignment horizontal="right" vertical="top"/>
    </xf>
    <xf numFmtId="165" fontId="13" fillId="0" borderId="28" xfId="1" applyFont="1" applyFill="1" applyBorder="1" applyAlignment="1" applyProtection="1">
      <alignment horizontal="right" vertical="top"/>
    </xf>
    <xf numFmtId="0" fontId="6" fillId="0" borderId="28" xfId="0" applyFont="1" applyBorder="1" applyAlignment="1">
      <alignment horizontal="center" vertical="center"/>
    </xf>
    <xf numFmtId="165" fontId="6" fillId="0" borderId="28" xfId="1" applyFont="1" applyFill="1" applyBorder="1" applyAlignment="1" applyProtection="1">
      <alignment horizontal="right" vertical="top"/>
    </xf>
    <xf numFmtId="49" fontId="6" fillId="0" borderId="25" xfId="0" quotePrefix="1" applyNumberFormat="1" applyFont="1" applyBorder="1" applyAlignment="1">
      <alignment horizontal="left" vertical="center"/>
    </xf>
    <xf numFmtId="49" fontId="6" fillId="0" borderId="22" xfId="0" applyNumberFormat="1" applyFont="1" applyBorder="1"/>
    <xf numFmtId="164" fontId="6" fillId="0" borderId="23" xfId="2" applyFont="1" applyFill="1" applyBorder="1" applyAlignment="1" applyProtection="1">
      <alignment horizontal="right" wrapText="1"/>
    </xf>
    <xf numFmtId="165" fontId="6" fillId="0" borderId="29" xfId="1" applyFont="1" applyFill="1" applyBorder="1" applyAlignment="1" applyProtection="1">
      <alignment horizontal="center" wrapText="1"/>
    </xf>
    <xf numFmtId="0" fontId="15" fillId="0" borderId="29" xfId="0" applyFont="1" applyBorder="1" applyAlignment="1">
      <alignment horizontal="center"/>
    </xf>
    <xf numFmtId="0" fontId="15" fillId="0" borderId="30" xfId="0" applyFont="1" applyBorder="1" applyAlignment="1">
      <alignment horizontal="center"/>
    </xf>
    <xf numFmtId="164" fontId="15" fillId="0" borderId="23" xfId="2" applyFont="1" applyBorder="1" applyAlignment="1">
      <alignment horizontal="right" wrapText="1"/>
    </xf>
    <xf numFmtId="165" fontId="6" fillId="0" borderId="24" xfId="1" applyFont="1" applyFill="1" applyBorder="1" applyAlignment="1" applyProtection="1">
      <alignment horizontal="center" wrapText="1"/>
    </xf>
    <xf numFmtId="0" fontId="15" fillId="0" borderId="24" xfId="0" applyFont="1" applyBorder="1" applyAlignment="1">
      <alignment horizontal="center"/>
    </xf>
    <xf numFmtId="0" fontId="15" fillId="0" borderId="25" xfId="0" applyFont="1" applyBorder="1" applyAlignment="1">
      <alignment horizontal="center"/>
    </xf>
    <xf numFmtId="0" fontId="17" fillId="0" borderId="24" xfId="0" applyFont="1" applyBorder="1" applyAlignment="1">
      <alignment horizontal="center"/>
    </xf>
    <xf numFmtId="164" fontId="6" fillId="0" borderId="23" xfId="2" applyFont="1" applyFill="1" applyBorder="1" applyAlignment="1" applyProtection="1">
      <alignment horizontal="right" vertical="top"/>
    </xf>
    <xf numFmtId="165" fontId="13" fillId="0" borderId="24" xfId="1" applyFont="1" applyFill="1" applyBorder="1" applyAlignment="1" applyProtection="1">
      <alignment horizontal="right" vertical="top"/>
    </xf>
    <xf numFmtId="0" fontId="6" fillId="0" borderId="24" xfId="0" applyFont="1" applyBorder="1" applyAlignment="1">
      <alignment horizontal="center" vertical="center"/>
    </xf>
    <xf numFmtId="165" fontId="6" fillId="0" borderId="24" xfId="1" applyFont="1" applyFill="1" applyBorder="1" applyAlignment="1" applyProtection="1">
      <alignment horizontal="right" vertical="top"/>
    </xf>
    <xf numFmtId="0" fontId="6" fillId="0" borderId="23" xfId="0" applyFont="1" applyBorder="1" applyAlignment="1">
      <alignment horizontal="right"/>
    </xf>
    <xf numFmtId="164" fontId="3" fillId="0" borderId="23" xfId="2" applyFont="1" applyBorder="1" applyAlignment="1">
      <alignment horizontal="right" wrapText="1"/>
    </xf>
    <xf numFmtId="49" fontId="6" fillId="0" borderId="33" xfId="0" applyNumberFormat="1" applyFont="1" applyBorder="1"/>
    <xf numFmtId="165" fontId="28" fillId="0" borderId="28" xfId="1" applyFont="1" applyFill="1" applyBorder="1" applyAlignment="1" applyProtection="1">
      <alignment horizontal="right" vertical="top"/>
    </xf>
    <xf numFmtId="0" fontId="17" fillId="4" borderId="24" xfId="0" applyFont="1" applyFill="1" applyBorder="1" applyAlignment="1">
      <alignment horizontal="left"/>
    </xf>
    <xf numFmtId="0" fontId="17" fillId="4" borderId="25" xfId="0" applyFont="1" applyFill="1" applyBorder="1" applyAlignment="1">
      <alignment horizontal="left"/>
    </xf>
    <xf numFmtId="49" fontId="6" fillId="4" borderId="12" xfId="0" applyNumberFormat="1" applyFont="1" applyFill="1" applyBorder="1"/>
    <xf numFmtId="165" fontId="6" fillId="0" borderId="24" xfId="1" applyFont="1" applyFill="1" applyBorder="1" applyAlignment="1" applyProtection="1">
      <alignment horizontal="center"/>
    </xf>
    <xf numFmtId="49" fontId="6" fillId="0" borderId="22" xfId="0" applyNumberFormat="1" applyFont="1" applyBorder="1" applyAlignment="1">
      <alignment vertical="top"/>
    </xf>
    <xf numFmtId="49" fontId="6" fillId="0" borderId="25" xfId="0" applyNumberFormat="1" applyFont="1" applyBorder="1" applyAlignment="1">
      <alignment horizontal="left" vertical="center"/>
    </xf>
    <xf numFmtId="49" fontId="15" fillId="0" borderId="23" xfId="2" applyNumberFormat="1" applyFont="1" applyFill="1" applyBorder="1" applyAlignment="1" applyProtection="1">
      <alignment horizontal="right" wrapText="1"/>
    </xf>
    <xf numFmtId="0" fontId="6" fillId="0" borderId="25" xfId="0" applyFont="1" applyBorder="1"/>
    <xf numFmtId="0" fontId="15" fillId="0" borderId="22" xfId="1" applyNumberFormat="1" applyFont="1" applyBorder="1" applyAlignment="1" applyProtection="1">
      <alignment horizontal="left" vertical="top"/>
    </xf>
    <xf numFmtId="165" fontId="6" fillId="0" borderId="24" xfId="1" applyFont="1" applyFill="1" applyBorder="1" applyAlignment="1" applyProtection="1">
      <alignment horizontal="center" vertical="top"/>
    </xf>
    <xf numFmtId="0" fontId="15" fillId="0" borderId="24" xfId="0" applyFont="1" applyBorder="1" applyAlignment="1">
      <alignment horizontal="center" vertical="top"/>
    </xf>
    <xf numFmtId="0" fontId="6" fillId="0" borderId="12" xfId="0" applyFont="1" applyBorder="1" applyAlignment="1">
      <alignment wrapText="1"/>
    </xf>
    <xf numFmtId="0" fontId="15" fillId="0" borderId="24" xfId="0" applyFont="1" applyBorder="1" applyAlignment="1">
      <alignment horizontal="center" wrapText="1"/>
    </xf>
    <xf numFmtId="0" fontId="15" fillId="0" borderId="25" xfId="0" applyFont="1" applyBorder="1" applyAlignment="1">
      <alignment horizontal="center" wrapText="1"/>
    </xf>
    <xf numFmtId="165" fontId="6" fillId="0" borderId="24" xfId="1" applyFont="1" applyFill="1" applyBorder="1" applyAlignment="1" applyProtection="1">
      <alignment horizontal="right" vertical="top" wrapText="1"/>
    </xf>
    <xf numFmtId="0" fontId="6" fillId="0" borderId="24" xfId="0" applyFont="1" applyBorder="1" applyAlignment="1">
      <alignment horizontal="center" vertical="center" wrapText="1"/>
    </xf>
    <xf numFmtId="0" fontId="6" fillId="0" borderId="25" xfId="0" applyFont="1" applyBorder="1" applyAlignment="1">
      <alignment wrapText="1"/>
    </xf>
    <xf numFmtId="49" fontId="15" fillId="0" borderId="22" xfId="4" applyNumberFormat="1" applyFont="1" applyBorder="1" applyAlignment="1">
      <alignment horizontal="left"/>
    </xf>
    <xf numFmtId="49" fontId="15" fillId="0" borderId="22" xfId="4" applyNumberFormat="1" applyFont="1" applyBorder="1" applyAlignment="1">
      <alignment horizontal="center"/>
    </xf>
    <xf numFmtId="164" fontId="6" fillId="4" borderId="23" xfId="2" applyFont="1" applyFill="1" applyBorder="1" applyAlignment="1" applyProtection="1">
      <alignment horizontal="right" wrapText="1"/>
    </xf>
    <xf numFmtId="165" fontId="6" fillId="4" borderId="24" xfId="1" applyFont="1" applyFill="1" applyBorder="1" applyAlignment="1" applyProtection="1">
      <alignment horizontal="center"/>
    </xf>
    <xf numFmtId="164" fontId="15" fillId="4" borderId="23" xfId="2" applyFont="1" applyFill="1" applyBorder="1" applyAlignment="1" applyProtection="1">
      <alignment horizontal="right" wrapText="1"/>
    </xf>
    <xf numFmtId="49" fontId="6" fillId="4" borderId="22" xfId="0" applyNumberFormat="1" applyFont="1" applyFill="1" applyBorder="1" applyAlignment="1">
      <alignment vertical="top"/>
    </xf>
    <xf numFmtId="164" fontId="15" fillId="0" borderId="23" xfId="2" applyFont="1" applyFill="1" applyBorder="1" applyAlignment="1" applyProtection="1">
      <alignment horizontal="right" wrapText="1"/>
    </xf>
    <xf numFmtId="49" fontId="6" fillId="0" borderId="23" xfId="0" applyNumberFormat="1" applyFont="1" applyBorder="1" applyAlignment="1">
      <alignment horizontal="left"/>
    </xf>
    <xf numFmtId="49" fontId="6" fillId="0" borderId="25" xfId="0" applyNumberFormat="1" applyFont="1" applyBorder="1" applyAlignment="1">
      <alignment horizontal="left"/>
    </xf>
    <xf numFmtId="49" fontId="15" fillId="0" borderId="22" xfId="0" applyNumberFormat="1" applyFont="1" applyBorder="1"/>
    <xf numFmtId="164" fontId="6" fillId="0" borderId="24" xfId="2" applyFont="1" applyFill="1" applyBorder="1" applyAlignment="1" applyProtection="1">
      <alignment horizontal="center"/>
    </xf>
    <xf numFmtId="164" fontId="15" fillId="0" borderId="23" xfId="2" quotePrefix="1" applyFont="1" applyFill="1" applyBorder="1" applyAlignment="1" applyProtection="1">
      <alignment horizontal="right" wrapText="1"/>
    </xf>
    <xf numFmtId="49" fontId="15" fillId="5" borderId="22" xfId="0" applyNumberFormat="1" applyFont="1" applyFill="1" applyBorder="1"/>
    <xf numFmtId="49" fontId="6" fillId="4" borderId="34" xfId="0" applyNumberFormat="1" applyFont="1" applyFill="1" applyBorder="1"/>
    <xf numFmtId="49" fontId="6" fillId="0" borderId="34" xfId="0" applyNumberFormat="1" applyFont="1" applyBorder="1"/>
    <xf numFmtId="165" fontId="6" fillId="5" borderId="24" xfId="1" applyFont="1" applyFill="1" applyBorder="1" applyAlignment="1" applyProtection="1">
      <alignment horizontal="center"/>
    </xf>
    <xf numFmtId="0" fontId="15" fillId="5" borderId="24" xfId="0" applyFont="1" applyFill="1" applyBorder="1" applyAlignment="1">
      <alignment horizontal="center"/>
    </xf>
    <xf numFmtId="0" fontId="15" fillId="5" borderId="25" xfId="0" applyFont="1" applyFill="1" applyBorder="1" applyAlignment="1">
      <alignment horizontal="center"/>
    </xf>
    <xf numFmtId="49" fontId="6" fillId="0" borderId="0" xfId="0" quotePrefix="1" applyNumberFormat="1" applyFont="1" applyAlignment="1">
      <alignment horizontal="left" vertical="center"/>
    </xf>
    <xf numFmtId="49" fontId="27" fillId="4" borderId="22" xfId="0" applyNumberFormat="1" applyFont="1" applyFill="1" applyBorder="1"/>
    <xf numFmtId="164" fontId="6" fillId="4" borderId="24" xfId="2" applyFont="1" applyFill="1" applyBorder="1" applyAlignment="1" applyProtection="1">
      <alignment horizontal="center"/>
    </xf>
    <xf numFmtId="1" fontId="6" fillId="0" borderId="22" xfId="0" applyNumberFormat="1" applyFont="1" applyBorder="1" applyAlignment="1">
      <alignment horizontal="left"/>
    </xf>
    <xf numFmtId="0" fontId="6" fillId="4" borderId="22" xfId="0" applyFont="1" applyFill="1" applyBorder="1"/>
    <xf numFmtId="49" fontId="30" fillId="6" borderId="35" xfId="0" applyNumberFormat="1" applyFont="1" applyFill="1" applyBorder="1" applyAlignment="1">
      <alignment vertical="center" wrapText="1"/>
    </xf>
    <xf numFmtId="49" fontId="6" fillId="0" borderId="35" xfId="0" applyNumberFormat="1" applyFont="1" applyBorder="1" applyAlignment="1">
      <alignment vertical="top"/>
    </xf>
    <xf numFmtId="164" fontId="6" fillId="0" borderId="36" xfId="2" applyFont="1" applyFill="1" applyBorder="1" applyAlignment="1" applyProtection="1">
      <alignment horizontal="right" vertical="top"/>
    </xf>
    <xf numFmtId="4" fontId="6" fillId="0" borderId="37" xfId="0" applyNumberFormat="1" applyFont="1" applyBorder="1" applyAlignment="1">
      <alignment horizontal="right" vertical="top"/>
    </xf>
    <xf numFmtId="0" fontId="6" fillId="0" borderId="37" xfId="0" applyFont="1" applyBorder="1" applyAlignment="1">
      <alignment horizontal="center" vertical="center"/>
    </xf>
    <xf numFmtId="2" fontId="6" fillId="0" borderId="37" xfId="0" applyNumberFormat="1" applyFont="1" applyBorder="1" applyAlignment="1">
      <alignment horizontal="right" vertical="top"/>
    </xf>
    <xf numFmtId="49" fontId="26" fillId="0" borderId="25" xfId="4" applyNumberFormat="1" applyFont="1" applyBorder="1" applyAlignment="1">
      <alignment horizontal="left" vertical="center" wrapText="1"/>
    </xf>
    <xf numFmtId="49" fontId="26" fillId="4" borderId="9" xfId="0" applyNumberFormat="1" applyFont="1" applyFill="1" applyBorder="1" applyAlignment="1">
      <alignment horizontal="left" vertical="top" wrapText="1"/>
    </xf>
    <xf numFmtId="49" fontId="15" fillId="4" borderId="39" xfId="4" applyNumberFormat="1" applyFont="1" applyFill="1" applyBorder="1" applyAlignment="1">
      <alignment horizontal="center"/>
    </xf>
    <xf numFmtId="49" fontId="15" fillId="4" borderId="10" xfId="4" applyNumberFormat="1" applyFont="1" applyFill="1" applyBorder="1" applyAlignment="1">
      <alignment horizontal="center"/>
    </xf>
    <xf numFmtId="49" fontId="15" fillId="4" borderId="11" xfId="4" applyNumberFormat="1" applyFont="1" applyFill="1" applyBorder="1" applyAlignment="1">
      <alignment horizontal="center"/>
    </xf>
    <xf numFmtId="164" fontId="15" fillId="4" borderId="39" xfId="2" applyFont="1" applyFill="1" applyBorder="1" applyAlignment="1" applyProtection="1">
      <alignment horizontal="right" vertical="top"/>
    </xf>
    <xf numFmtId="49" fontId="26" fillId="4" borderId="14" xfId="0" applyNumberFormat="1" applyFont="1" applyFill="1" applyBorder="1" applyAlignment="1">
      <alignment horizontal="left" vertical="top" wrapText="1"/>
    </xf>
    <xf numFmtId="0" fontId="26" fillId="4" borderId="17" xfId="4" applyFont="1" applyFill="1" applyBorder="1" applyAlignment="1">
      <alignment horizontal="left"/>
    </xf>
    <xf numFmtId="0" fontId="26" fillId="4" borderId="15" xfId="4" applyFont="1" applyFill="1" applyBorder="1" applyAlignment="1">
      <alignment horizontal="left"/>
    </xf>
    <xf numFmtId="0" fontId="26" fillId="4" borderId="16" xfId="4" applyFont="1" applyFill="1" applyBorder="1" applyAlignment="1">
      <alignment horizontal="left"/>
    </xf>
    <xf numFmtId="164" fontId="26" fillId="4" borderId="17" xfId="2" applyFont="1" applyFill="1" applyBorder="1" applyAlignment="1" applyProtection="1">
      <alignment horizontal="left"/>
    </xf>
    <xf numFmtId="4" fontId="26" fillId="4" borderId="15" xfId="4" applyNumberFormat="1" applyFont="1" applyFill="1" applyBorder="1" applyAlignment="1">
      <alignment horizontal="left"/>
    </xf>
    <xf numFmtId="2" fontId="26" fillId="4" borderId="15" xfId="4" applyNumberFormat="1" applyFont="1" applyFill="1" applyBorder="1" applyAlignment="1">
      <alignment horizontal="left"/>
    </xf>
    <xf numFmtId="49" fontId="26" fillId="4" borderId="16" xfId="4" applyNumberFormat="1" applyFont="1" applyFill="1" applyBorder="1" applyAlignment="1">
      <alignment horizontal="left"/>
    </xf>
    <xf numFmtId="0" fontId="22" fillId="0" borderId="39" xfId="0" applyFont="1" applyBorder="1"/>
    <xf numFmtId="49" fontId="33" fillId="0" borderId="10" xfId="4" applyNumberFormat="1" applyFont="1" applyBorder="1" applyAlignment="1">
      <alignment horizontal="left"/>
    </xf>
    <xf numFmtId="49" fontId="26" fillId="0" borderId="0" xfId="4" applyNumberFormat="1" applyFont="1" applyAlignment="1">
      <alignment horizontal="center"/>
    </xf>
    <xf numFmtId="49" fontId="34" fillId="0" borderId="0" xfId="4" applyNumberFormat="1" applyFont="1" applyAlignment="1">
      <alignment horizontal="center"/>
    </xf>
    <xf numFmtId="2" fontId="15" fillId="0" borderId="0" xfId="4" applyNumberFormat="1" applyFont="1" applyAlignment="1">
      <alignment horizontal="left" vertical="center"/>
    </xf>
    <xf numFmtId="2" fontId="15" fillId="0" borderId="13" xfId="4" applyNumberFormat="1" applyFont="1" applyBorder="1" applyAlignment="1">
      <alignment horizontal="left" vertical="center"/>
    </xf>
    <xf numFmtId="49" fontId="15" fillId="0" borderId="10" xfId="4" applyNumberFormat="1" applyFont="1" applyBorder="1"/>
    <xf numFmtId="164" fontId="26" fillId="0" borderId="0" xfId="2" applyFont="1" applyBorder="1" applyAlignment="1" applyProtection="1">
      <alignment horizontal="right" vertical="top"/>
    </xf>
    <xf numFmtId="2" fontId="15" fillId="0" borderId="31" xfId="4" applyNumberFormat="1" applyFont="1" applyBorder="1" applyAlignment="1">
      <alignment horizontal="left" vertical="center"/>
    </xf>
    <xf numFmtId="164" fontId="35" fillId="0" borderId="0" xfId="4" applyNumberFormat="1" applyFont="1"/>
    <xf numFmtId="0" fontId="35" fillId="0" borderId="0" xfId="4" applyFont="1" applyAlignment="1">
      <alignment horizontal="center"/>
    </xf>
    <xf numFmtId="0" fontId="22" fillId="0" borderId="0" xfId="0" applyFont="1"/>
    <xf numFmtId="0" fontId="22" fillId="0" borderId="13" xfId="0" applyFont="1" applyBorder="1"/>
    <xf numFmtId="14" fontId="26" fillId="0" borderId="0" xfId="4" applyNumberFormat="1" applyFont="1" applyAlignment="1">
      <alignment horizontal="left" vertical="center"/>
    </xf>
    <xf numFmtId="4" fontId="26" fillId="0" borderId="0" xfId="4" applyNumberFormat="1" applyFont="1" applyAlignment="1">
      <alignment horizontal="left" vertical="top"/>
    </xf>
    <xf numFmtId="164" fontId="15" fillId="0" borderId="0" xfId="2" applyFont="1" applyBorder="1" applyAlignment="1" applyProtection="1">
      <alignment horizontal="right" vertical="top"/>
    </xf>
    <xf numFmtId="4" fontId="26" fillId="0" borderId="0" xfId="4" applyNumberFormat="1" applyFont="1" applyAlignment="1">
      <alignment horizontal="right" vertical="top"/>
    </xf>
    <xf numFmtId="49" fontId="15" fillId="0" borderId="0" xfId="4" applyNumberFormat="1" applyFont="1" applyAlignment="1">
      <alignment horizontal="center" vertical="center"/>
    </xf>
    <xf numFmtId="2" fontId="15" fillId="0" borderId="0" xfId="4" applyNumberFormat="1" applyFont="1" applyAlignment="1">
      <alignment horizontal="right" vertical="top"/>
    </xf>
    <xf numFmtId="49" fontId="26" fillId="0" borderId="13" xfId="4" applyNumberFormat="1" applyFont="1" applyBorder="1" applyAlignment="1">
      <alignment horizontal="left" vertical="center"/>
    </xf>
    <xf numFmtId="0" fontId="26" fillId="0" borderId="0" xfId="4" applyFont="1" applyAlignment="1">
      <alignment horizontal="left" vertical="center"/>
    </xf>
    <xf numFmtId="4" fontId="35" fillId="0" borderId="0" xfId="4" applyNumberFormat="1" applyFont="1" applyAlignment="1">
      <alignment horizontal="right" vertical="top"/>
    </xf>
    <xf numFmtId="0" fontId="36" fillId="0" borderId="0" xfId="4" applyFont="1" applyAlignment="1">
      <alignment horizontal="center" vertical="center"/>
    </xf>
    <xf numFmtId="2" fontId="37" fillId="0" borderId="0" xfId="4" applyNumberFormat="1" applyFont="1" applyAlignment="1">
      <alignment horizontal="right" vertical="top"/>
    </xf>
    <xf numFmtId="49" fontId="15" fillId="0" borderId="13" xfId="4" applyNumberFormat="1" applyFont="1" applyBorder="1" applyAlignment="1">
      <alignment horizontal="left" vertical="center"/>
    </xf>
    <xf numFmtId="2" fontId="26" fillId="0" borderId="31" xfId="4" applyNumberFormat="1" applyFont="1" applyBorder="1" applyAlignment="1">
      <alignment horizontal="left" vertical="center"/>
    </xf>
    <xf numFmtId="2" fontId="26" fillId="0" borderId="0" xfId="4" applyNumberFormat="1" applyFont="1" applyAlignment="1">
      <alignment horizontal="left" vertical="center"/>
    </xf>
    <xf numFmtId="2" fontId="26" fillId="0" borderId="13" xfId="4" applyNumberFormat="1" applyFont="1" applyBorder="1" applyAlignment="1">
      <alignment horizontal="left" vertical="center"/>
    </xf>
    <xf numFmtId="164" fontId="35" fillId="0" borderId="0" xfId="2" applyFont="1" applyBorder="1" applyAlignment="1" applyProtection="1">
      <alignment horizontal="right" vertical="top"/>
    </xf>
    <xf numFmtId="164" fontId="38" fillId="0" borderId="0" xfId="2" applyFont="1" applyFill="1" applyBorder="1" applyAlignment="1" applyProtection="1">
      <alignment horizontal="right" vertical="top"/>
    </xf>
    <xf numFmtId="4" fontId="38" fillId="0" borderId="0" xfId="4" applyNumberFormat="1" applyFont="1" applyAlignment="1">
      <alignment horizontal="right" vertical="top"/>
    </xf>
    <xf numFmtId="0" fontId="38" fillId="0" borderId="0" xfId="4" applyFont="1" applyAlignment="1">
      <alignment horizontal="center" vertical="center"/>
    </xf>
    <xf numFmtId="2" fontId="38" fillId="0" borderId="0" xfId="4" applyNumberFormat="1" applyFont="1" applyAlignment="1">
      <alignment horizontal="right" vertical="top"/>
    </xf>
    <xf numFmtId="49" fontId="39" fillId="0" borderId="13" xfId="4" applyNumberFormat="1" applyFont="1" applyBorder="1" applyAlignment="1">
      <alignment horizontal="left" vertical="center"/>
    </xf>
    <xf numFmtId="0" fontId="39" fillId="3" borderId="31" xfId="4" applyFont="1" applyFill="1" applyBorder="1" applyAlignment="1">
      <alignment horizontal="left" vertical="center"/>
    </xf>
    <xf numFmtId="164" fontId="38" fillId="3" borderId="0" xfId="4" applyNumberFormat="1" applyFont="1" applyFill="1"/>
    <xf numFmtId="0" fontId="38" fillId="3" borderId="0" xfId="4" applyFont="1" applyFill="1" applyAlignment="1">
      <alignment horizontal="center"/>
    </xf>
    <xf numFmtId="0" fontId="38" fillId="3" borderId="0" xfId="0" applyFont="1" applyFill="1"/>
    <xf numFmtId="0" fontId="39" fillId="3" borderId="0" xfId="4" applyFont="1" applyFill="1" applyAlignment="1">
      <alignment horizontal="left" vertical="center"/>
    </xf>
    <xf numFmtId="0" fontId="14" fillId="3" borderId="31" xfId="4" applyFont="1" applyFill="1" applyBorder="1" applyAlignment="1">
      <alignment horizontal="left" vertical="center"/>
    </xf>
    <xf numFmtId="164" fontId="40" fillId="3" borderId="0" xfId="4" applyNumberFormat="1" applyFont="1" applyFill="1"/>
    <xf numFmtId="0" fontId="40" fillId="3" borderId="0" xfId="4" applyFont="1" applyFill="1" applyAlignment="1">
      <alignment horizontal="center"/>
    </xf>
    <xf numFmtId="0" fontId="40" fillId="3" borderId="0" xfId="0" applyFont="1" applyFill="1"/>
    <xf numFmtId="0" fontId="14" fillId="3" borderId="13" xfId="4" applyFont="1" applyFill="1" applyBorder="1" applyAlignment="1">
      <alignment horizontal="left" vertical="center"/>
    </xf>
    <xf numFmtId="49" fontId="14" fillId="3" borderId="0" xfId="4" applyNumberFormat="1" applyFont="1" applyFill="1" applyAlignment="1">
      <alignment horizontal="left" vertical="center"/>
    </xf>
    <xf numFmtId="4" fontId="38" fillId="3" borderId="0" xfId="4" applyNumberFormat="1" applyFont="1" applyFill="1" applyAlignment="1">
      <alignment horizontal="right" vertical="top"/>
    </xf>
    <xf numFmtId="0" fontId="38" fillId="3" borderId="0" xfId="4" applyFont="1" applyFill="1" applyAlignment="1">
      <alignment horizontal="center" vertical="center"/>
    </xf>
    <xf numFmtId="2" fontId="38" fillId="3" borderId="0" xfId="4" applyNumberFormat="1" applyFont="1" applyFill="1" applyAlignment="1">
      <alignment horizontal="right" vertical="top"/>
    </xf>
    <xf numFmtId="49" fontId="14" fillId="3" borderId="13" xfId="4" applyNumberFormat="1" applyFont="1" applyFill="1" applyBorder="1" applyAlignment="1">
      <alignment horizontal="left" vertical="center"/>
    </xf>
    <xf numFmtId="49" fontId="13" fillId="0" borderId="24" xfId="0" applyNumberFormat="1" applyFont="1" applyBorder="1" applyAlignment="1">
      <alignment horizontal="left"/>
    </xf>
    <xf numFmtId="49" fontId="32" fillId="4" borderId="15" xfId="0" applyNumberFormat="1" applyFont="1" applyFill="1" applyBorder="1" applyAlignment="1">
      <alignment horizontal="left" vertical="top" wrapText="1"/>
    </xf>
    <xf numFmtId="49" fontId="32" fillId="4" borderId="10" xfId="0" applyNumberFormat="1" applyFont="1" applyFill="1" applyBorder="1" applyAlignment="1">
      <alignment horizontal="left" vertical="top" wrapText="1"/>
    </xf>
    <xf numFmtId="49" fontId="6" fillId="0" borderId="37" xfId="0" applyNumberFormat="1" applyFont="1" applyBorder="1" applyAlignment="1">
      <alignment horizontal="center" vertical="top"/>
    </xf>
    <xf numFmtId="49" fontId="27" fillId="4" borderId="24" xfId="0" applyNumberFormat="1" applyFont="1" applyFill="1" applyBorder="1" applyAlignment="1">
      <alignment horizontal="left"/>
    </xf>
    <xf numFmtId="49" fontId="6" fillId="0" borderId="24" xfId="0" applyNumberFormat="1" applyFont="1" applyBorder="1" applyAlignment="1">
      <alignment horizontal="left"/>
    </xf>
    <xf numFmtId="49" fontId="27" fillId="0" borderId="24" xfId="0" applyNumberFormat="1" applyFont="1" applyBorder="1" applyAlignment="1">
      <alignment horizontal="left"/>
    </xf>
    <xf numFmtId="49" fontId="6" fillId="0" borderId="24" xfId="0" applyNumberFormat="1" applyFont="1" applyBorder="1" applyAlignment="1">
      <alignment horizontal="left" vertical="top"/>
    </xf>
    <xf numFmtId="49" fontId="6" fillId="0" borderId="24" xfId="0" applyNumberFormat="1" applyFont="1" applyBorder="1" applyAlignment="1">
      <alignment horizontal="left" wrapText="1"/>
    </xf>
    <xf numFmtId="49" fontId="27" fillId="4" borderId="28" xfId="0" applyNumberFormat="1" applyFont="1" applyFill="1" applyBorder="1" applyAlignment="1">
      <alignment horizontal="left"/>
    </xf>
    <xf numFmtId="49" fontId="6" fillId="0" borderId="24" xfId="0" quotePrefix="1" applyNumberFormat="1" applyFont="1" applyBorder="1" applyAlignment="1">
      <alignment horizontal="left"/>
    </xf>
    <xf numFmtId="49" fontId="15" fillId="0" borderId="24" xfId="0" applyNumberFormat="1" applyFont="1" applyBorder="1" applyAlignment="1">
      <alignment horizontal="left" wrapText="1"/>
    </xf>
    <xf numFmtId="0" fontId="6" fillId="0" borderId="24" xfId="0" applyFont="1" applyBorder="1" applyAlignment="1">
      <alignment horizontal="left" wrapText="1"/>
    </xf>
    <xf numFmtId="49" fontId="27" fillId="4" borderId="29" xfId="0" applyNumberFormat="1" applyFont="1" applyFill="1" applyBorder="1" applyAlignment="1">
      <alignment horizontal="left" vertical="top"/>
    </xf>
    <xf numFmtId="49" fontId="6" fillId="0" borderId="24" xfId="0" quotePrefix="1" applyNumberFormat="1" applyFont="1" applyBorder="1" applyAlignment="1">
      <alignment horizontal="left" vertical="top"/>
    </xf>
    <xf numFmtId="49" fontId="6" fillId="0" borderId="29" xfId="0" applyNumberFormat="1" applyFont="1" applyBorder="1" applyAlignment="1">
      <alignment horizontal="left" vertical="top"/>
    </xf>
    <xf numFmtId="49" fontId="27" fillId="4" borderId="0" xfId="0" applyNumberFormat="1" applyFont="1" applyFill="1" applyAlignment="1">
      <alignment horizontal="left" vertical="top"/>
    </xf>
    <xf numFmtId="49" fontId="15" fillId="0" borderId="28" xfId="0" applyNumberFormat="1" applyFont="1" applyBorder="1" applyAlignment="1">
      <alignment horizontal="left" vertical="top"/>
    </xf>
    <xf numFmtId="49" fontId="15" fillId="0" borderId="24" xfId="0" applyNumberFormat="1" applyFont="1" applyBorder="1" applyAlignment="1">
      <alignment horizontal="left" vertical="top"/>
    </xf>
    <xf numFmtId="49" fontId="6" fillId="0" borderId="24" xfId="0" quotePrefix="1" applyNumberFormat="1" applyFont="1" applyBorder="1" applyAlignment="1">
      <alignment horizontal="left" vertical="top" wrapText="1"/>
    </xf>
    <xf numFmtId="49" fontId="27" fillId="4" borderId="28" xfId="0" applyNumberFormat="1" applyFont="1" applyFill="1" applyBorder="1" applyAlignment="1">
      <alignment horizontal="left" vertical="top"/>
    </xf>
    <xf numFmtId="49" fontId="6" fillId="0" borderId="20" xfId="0" applyNumberFormat="1" applyFont="1" applyBorder="1" applyAlignment="1">
      <alignment horizontal="left" vertical="top"/>
    </xf>
    <xf numFmtId="49" fontId="13" fillId="0" borderId="23" xfId="0" applyNumberFormat="1" applyFont="1" applyBorder="1" applyAlignment="1">
      <alignment horizontal="left"/>
    </xf>
    <xf numFmtId="1" fontId="6" fillId="0" borderId="24" xfId="0" applyNumberFormat="1" applyFont="1" applyBorder="1" applyAlignment="1">
      <alignment horizontal="left"/>
    </xf>
    <xf numFmtId="164" fontId="41" fillId="0" borderId="24" xfId="2" applyFont="1" applyFill="1" applyBorder="1" applyAlignment="1" applyProtection="1">
      <alignment horizontal="center"/>
    </xf>
    <xf numFmtId="49" fontId="15" fillId="0" borderId="25" xfId="0" applyNumberFormat="1" applyFont="1" applyBorder="1" applyAlignment="1">
      <alignment horizontal="left" vertical="top"/>
    </xf>
    <xf numFmtId="49" fontId="15" fillId="0" borderId="23" xfId="0" applyNumberFormat="1" applyFont="1" applyBorder="1" applyAlignment="1">
      <alignment horizontal="left" vertical="top"/>
    </xf>
    <xf numFmtId="49" fontId="15" fillId="0" borderId="25" xfId="0" applyNumberFormat="1" applyFont="1" applyBorder="1" applyAlignment="1">
      <alignment horizontal="left"/>
    </xf>
    <xf numFmtId="49" fontId="15" fillId="0" borderId="23" xfId="0" applyNumberFormat="1" applyFont="1" applyBorder="1" applyAlignment="1">
      <alignment horizontal="left"/>
    </xf>
    <xf numFmtId="168" fontId="6" fillId="0" borderId="24" xfId="0" applyNumberFormat="1" applyFont="1" applyBorder="1" applyAlignment="1">
      <alignment horizontal="left"/>
    </xf>
    <xf numFmtId="49" fontId="6" fillId="0" borderId="22" xfId="0" applyNumberFormat="1" applyFont="1" applyBorder="1" applyAlignment="1">
      <alignment wrapText="1"/>
    </xf>
    <xf numFmtId="49" fontId="6" fillId="5" borderId="25" xfId="0" quotePrefix="1" applyNumberFormat="1" applyFont="1" applyFill="1" applyBorder="1" applyAlignment="1">
      <alignment horizontal="left" vertical="center"/>
    </xf>
    <xf numFmtId="165" fontId="6" fillId="5" borderId="24" xfId="1" applyFont="1" applyFill="1" applyBorder="1" applyAlignment="1" applyProtection="1">
      <alignment horizontal="right" vertical="top"/>
    </xf>
    <xf numFmtId="0" fontId="6" fillId="5" borderId="24" xfId="0" applyFont="1" applyFill="1" applyBorder="1" applyAlignment="1">
      <alignment horizontal="center" vertical="center"/>
    </xf>
    <xf numFmtId="164" fontId="6" fillId="5" borderId="23" xfId="2" applyFont="1" applyFill="1" applyBorder="1" applyAlignment="1" applyProtection="1">
      <alignment horizontal="right" vertical="top"/>
    </xf>
    <xf numFmtId="49" fontId="6" fillId="5" borderId="0" xfId="0" quotePrefix="1" applyNumberFormat="1" applyFont="1" applyFill="1" applyAlignment="1">
      <alignment horizontal="left" vertical="center"/>
    </xf>
    <xf numFmtId="165" fontId="6" fillId="5" borderId="0" xfId="1" applyFont="1" applyFill="1" applyBorder="1" applyAlignment="1" applyProtection="1">
      <alignment horizontal="right" vertical="top"/>
    </xf>
    <xf numFmtId="0" fontId="6" fillId="5" borderId="0" xfId="0" applyFont="1" applyFill="1" applyAlignment="1">
      <alignment horizontal="center" vertical="center"/>
    </xf>
    <xf numFmtId="49" fontId="31" fillId="0" borderId="37" xfId="0" applyNumberFormat="1" applyFont="1" applyBorder="1" applyAlignment="1">
      <alignment horizontal="left" wrapText="1"/>
    </xf>
    <xf numFmtId="49" fontId="31" fillId="0" borderId="36" xfId="0" applyNumberFormat="1" applyFont="1" applyBorder="1" applyAlignment="1">
      <alignment horizontal="left" wrapText="1"/>
    </xf>
    <xf numFmtId="0" fontId="6" fillId="0" borderId="0" xfId="0" applyFont="1" applyAlignment="1">
      <alignment horizontal="left"/>
    </xf>
    <xf numFmtId="14" fontId="15" fillId="0" borderId="0" xfId="0" applyNumberFormat="1" applyFont="1" applyAlignment="1">
      <alignment horizontal="left"/>
    </xf>
    <xf numFmtId="0" fontId="15" fillId="0" borderId="0" xfId="0" applyFont="1" applyAlignment="1">
      <alignment horizontal="left"/>
    </xf>
    <xf numFmtId="14" fontId="6" fillId="0" borderId="0" xfId="0" applyNumberFormat="1" applyFont="1" applyAlignment="1">
      <alignment horizontal="left"/>
    </xf>
    <xf numFmtId="49" fontId="6" fillId="0" borderId="25" xfId="0" applyNumberFormat="1" applyFont="1" applyBorder="1" applyAlignment="1">
      <alignment horizontal="left"/>
    </xf>
    <xf numFmtId="49" fontId="6" fillId="0" borderId="23" xfId="0" applyNumberFormat="1" applyFont="1" applyBorder="1" applyAlignment="1">
      <alignment horizontal="left"/>
    </xf>
    <xf numFmtId="49" fontId="15" fillId="0" borderId="25" xfId="0" applyNumberFormat="1" applyFont="1" applyBorder="1" applyAlignment="1">
      <alignment horizontal="left"/>
    </xf>
    <xf numFmtId="49" fontId="15" fillId="0" borderId="24" xfId="0" applyNumberFormat="1" applyFont="1" applyBorder="1" applyAlignment="1">
      <alignment horizontal="left"/>
    </xf>
    <xf numFmtId="49" fontId="32" fillId="4" borderId="15" xfId="0" applyNumberFormat="1" applyFont="1" applyFill="1" applyBorder="1" applyAlignment="1">
      <alignment horizontal="left" vertical="top" wrapText="1"/>
    </xf>
    <xf numFmtId="49" fontId="32" fillId="4" borderId="10" xfId="0" applyNumberFormat="1" applyFont="1" applyFill="1" applyBorder="1" applyAlignment="1">
      <alignment horizontal="left" vertical="top" wrapText="1"/>
    </xf>
    <xf numFmtId="49" fontId="6" fillId="0" borderId="38" xfId="0" applyNumberFormat="1" applyFont="1" applyBorder="1" applyAlignment="1">
      <alignment horizontal="center" vertical="top"/>
    </xf>
    <xf numFmtId="49" fontId="6" fillId="0" borderId="36" xfId="0" applyNumberFormat="1" applyFont="1" applyBorder="1" applyAlignment="1">
      <alignment horizontal="center" vertical="top"/>
    </xf>
    <xf numFmtId="49" fontId="31" fillId="0" borderId="38" xfId="0" applyNumberFormat="1" applyFont="1" applyBorder="1" applyAlignment="1">
      <alignment horizontal="left" wrapText="1"/>
    </xf>
    <xf numFmtId="49" fontId="27" fillId="4" borderId="25" xfId="0" applyNumberFormat="1" applyFont="1" applyFill="1" applyBorder="1" applyAlignment="1">
      <alignment horizontal="left"/>
    </xf>
    <xf numFmtId="49" fontId="27" fillId="4" borderId="23" xfId="0" applyNumberFormat="1" applyFont="1" applyFill="1" applyBorder="1" applyAlignment="1">
      <alignment horizontal="left"/>
    </xf>
    <xf numFmtId="49" fontId="6" fillId="0" borderId="25" xfId="0" applyNumberFormat="1" applyFont="1" applyBorder="1" applyAlignment="1">
      <alignment horizontal="left" vertical="top"/>
    </xf>
    <xf numFmtId="49" fontId="6" fillId="0" borderId="23" xfId="0" applyNumberFormat="1" applyFont="1" applyBorder="1" applyAlignment="1">
      <alignment horizontal="left" vertical="top"/>
    </xf>
    <xf numFmtId="49" fontId="27" fillId="0" borderId="25" xfId="0" applyNumberFormat="1" applyFont="1" applyBorder="1" applyAlignment="1">
      <alignment horizontal="left"/>
    </xf>
    <xf numFmtId="49" fontId="27" fillId="0" borderId="23" xfId="0" applyNumberFormat="1" applyFont="1" applyBorder="1" applyAlignment="1">
      <alignment horizontal="left"/>
    </xf>
    <xf numFmtId="49" fontId="6" fillId="0" borderId="21" xfId="0" applyNumberFormat="1" applyFont="1" applyBorder="1" applyAlignment="1">
      <alignment horizontal="left" vertical="top"/>
    </xf>
    <xf numFmtId="49" fontId="6" fillId="0" borderId="19" xfId="0" applyNumberFormat="1" applyFont="1" applyBorder="1" applyAlignment="1">
      <alignment horizontal="left" vertical="top"/>
    </xf>
    <xf numFmtId="49" fontId="15" fillId="0" borderId="27" xfId="0" applyNumberFormat="1" applyFont="1" applyBorder="1" applyAlignment="1">
      <alignment horizontal="left" vertical="top"/>
    </xf>
    <xf numFmtId="49" fontId="15" fillId="0" borderId="26" xfId="0" applyNumberFormat="1" applyFont="1" applyBorder="1" applyAlignment="1">
      <alignment horizontal="left" vertical="top"/>
    </xf>
    <xf numFmtId="49" fontId="15" fillId="0" borderId="25" xfId="0" applyNumberFormat="1" applyFont="1" applyBorder="1" applyAlignment="1">
      <alignment horizontal="left" vertical="top"/>
    </xf>
    <xf numFmtId="49" fontId="15" fillId="0" borderId="23" xfId="0" applyNumberFormat="1" applyFont="1" applyBorder="1" applyAlignment="1">
      <alignment horizontal="left" vertical="top"/>
    </xf>
    <xf numFmtId="49" fontId="6" fillId="0" borderId="25" xfId="0" applyNumberFormat="1" applyFont="1" applyBorder="1" applyAlignment="1">
      <alignment horizontal="left" wrapText="1"/>
    </xf>
    <xf numFmtId="0" fontId="6" fillId="0" borderId="23" xfId="0" applyFont="1" applyBorder="1" applyAlignment="1">
      <alignment horizontal="left" wrapText="1"/>
    </xf>
    <xf numFmtId="49" fontId="6" fillId="0" borderId="25" xfId="0" quotePrefix="1" applyNumberFormat="1" applyFont="1" applyBorder="1" applyAlignment="1">
      <alignment horizontal="left" vertical="top" wrapText="1"/>
    </xf>
    <xf numFmtId="49" fontId="6" fillId="0" borderId="23" xfId="0" quotePrefix="1" applyNumberFormat="1" applyFont="1" applyBorder="1" applyAlignment="1">
      <alignment horizontal="left" vertical="top" wrapText="1"/>
    </xf>
    <xf numFmtId="49" fontId="27" fillId="4" borderId="30" xfId="0" applyNumberFormat="1" applyFont="1" applyFill="1" applyBorder="1" applyAlignment="1">
      <alignment horizontal="left" vertical="top"/>
    </xf>
    <xf numFmtId="49" fontId="27" fillId="4" borderId="32" xfId="0" applyNumberFormat="1" applyFont="1" applyFill="1" applyBorder="1" applyAlignment="1">
      <alignment horizontal="left" vertical="top"/>
    </xf>
    <xf numFmtId="49" fontId="6" fillId="0" borderId="25" xfId="0" quotePrefix="1" applyNumberFormat="1" applyFont="1" applyBorder="1" applyAlignment="1">
      <alignment horizontal="left" vertical="top"/>
    </xf>
    <xf numFmtId="49" fontId="6" fillId="0" borderId="23" xfId="0" quotePrefix="1" applyNumberFormat="1" applyFont="1" applyBorder="1" applyAlignment="1">
      <alignment horizontal="left" vertical="top"/>
    </xf>
    <xf numFmtId="49" fontId="6" fillId="0" borderId="30" xfId="0" applyNumberFormat="1" applyFont="1" applyBorder="1" applyAlignment="1">
      <alignment horizontal="left" vertical="top"/>
    </xf>
    <xf numFmtId="49" fontId="6" fillId="0" borderId="32" xfId="0" applyNumberFormat="1" applyFont="1" applyBorder="1" applyAlignment="1">
      <alignment horizontal="left" vertical="top"/>
    </xf>
    <xf numFmtId="49" fontId="27" fillId="4" borderId="13" xfId="0" applyNumberFormat="1" applyFont="1" applyFill="1" applyBorder="1" applyAlignment="1">
      <alignment horizontal="left" vertical="top"/>
    </xf>
    <xf numFmtId="49" fontId="27" fillId="4" borderId="31" xfId="0" applyNumberFormat="1" applyFont="1" applyFill="1" applyBorder="1" applyAlignment="1">
      <alignment horizontal="left" vertical="top"/>
    </xf>
    <xf numFmtId="49" fontId="27" fillId="4" borderId="27" xfId="0" applyNumberFormat="1" applyFont="1" applyFill="1" applyBorder="1" applyAlignment="1">
      <alignment horizontal="left" vertical="top"/>
    </xf>
    <xf numFmtId="49" fontId="27" fillId="4" borderId="26" xfId="0" applyNumberFormat="1" applyFont="1" applyFill="1" applyBorder="1" applyAlignment="1">
      <alignment horizontal="left" vertical="top"/>
    </xf>
    <xf numFmtId="49" fontId="6" fillId="0" borderId="25" xfId="0" quotePrefix="1" applyNumberFormat="1" applyFont="1" applyBorder="1" applyAlignment="1">
      <alignment horizontal="left"/>
    </xf>
    <xf numFmtId="49" fontId="6" fillId="0" borderId="23" xfId="0" quotePrefix="1" applyNumberFormat="1" applyFont="1" applyBorder="1" applyAlignment="1">
      <alignment horizontal="left"/>
    </xf>
    <xf numFmtId="49" fontId="15" fillId="0" borderId="25" xfId="0" applyNumberFormat="1" applyFont="1" applyBorder="1" applyAlignment="1">
      <alignment horizontal="left" wrapText="1"/>
    </xf>
    <xf numFmtId="49" fontId="15" fillId="0" borderId="23" xfId="0" applyNumberFormat="1" applyFont="1" applyBorder="1" applyAlignment="1">
      <alignment horizontal="left" wrapText="1"/>
    </xf>
    <xf numFmtId="49" fontId="6" fillId="0" borderId="23" xfId="0" applyNumberFormat="1" applyFont="1" applyBorder="1" applyAlignment="1">
      <alignment horizontal="left" wrapText="1"/>
    </xf>
    <xf numFmtId="49" fontId="27" fillId="4" borderId="27" xfId="0" applyNumberFormat="1" applyFont="1" applyFill="1" applyBorder="1" applyAlignment="1">
      <alignment horizontal="left"/>
    </xf>
    <xf numFmtId="49" fontId="27" fillId="4" borderId="26" xfId="0" applyNumberFormat="1" applyFont="1" applyFill="1" applyBorder="1" applyAlignment="1">
      <alignment horizontal="left"/>
    </xf>
    <xf numFmtId="164" fontId="6" fillId="5" borderId="0" xfId="2" applyFont="1" applyFill="1" applyBorder="1" applyAlignment="1" applyProtection="1">
      <alignment horizontal="right" vertical="top"/>
    </xf>
  </cellXfs>
  <cellStyles count="5">
    <cellStyle name="Komma" xfId="1" builtinId="3"/>
    <cellStyle name="Procent" xfId="3" builtinId="5"/>
    <cellStyle name="Standaard" xfId="0" builtinId="0"/>
    <cellStyle name="Standaard 2" xfId="4" xr:uid="{9099873B-EEAE-4701-9F8A-C0F5B6CAD0EC}"/>
    <cellStyle name="Valuta" xfId="2" builtinId="4"/>
  </cellStyles>
  <dxfs count="107">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FF0000"/>
      </font>
    </dxf>
    <dxf>
      <font>
        <color rgb="FF7030A0"/>
      </font>
    </dxf>
    <dxf>
      <font>
        <color theme="9"/>
      </font>
    </dxf>
    <dxf>
      <font>
        <color rgb="FFFF0000"/>
      </font>
    </dxf>
    <dxf>
      <font>
        <color rgb="FFFF0000"/>
      </font>
    </dxf>
    <dxf>
      <font>
        <color rgb="FFFF0000"/>
      </font>
    </dxf>
    <dxf>
      <font>
        <color rgb="FF7030A0"/>
      </font>
    </dxf>
    <dxf>
      <font>
        <color theme="9"/>
      </font>
    </dxf>
    <dxf>
      <font>
        <color theme="9"/>
      </font>
    </dxf>
    <dxf>
      <font>
        <color rgb="FF7030A0"/>
      </font>
    </dxf>
    <dxf>
      <font>
        <b val="0"/>
        <i val="0"/>
        <strike val="0"/>
      </font>
    </dxf>
    <dxf>
      <font>
        <strike val="0"/>
        <color rgb="FFFF0000"/>
      </font>
    </dxf>
    <dxf>
      <font>
        <strike val="0"/>
        <color rgb="FF7030A0"/>
      </font>
    </dxf>
    <dxf>
      <font>
        <strike val="0"/>
        <color theme="9"/>
      </font>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color rgb="FFFF0000"/>
      </font>
    </dxf>
    <dxf>
      <font>
        <color rgb="FF7030A0"/>
      </font>
    </dxf>
    <dxf>
      <font>
        <color theme="9"/>
      </font>
    </dxf>
    <dxf>
      <font>
        <color rgb="FFFF0000"/>
      </font>
    </dxf>
    <dxf>
      <font>
        <color rgb="FFFF0000"/>
      </font>
    </dxf>
    <dxf>
      <font>
        <color rgb="FFFF0000"/>
      </font>
    </dxf>
    <dxf>
      <font>
        <color rgb="FF7030A0"/>
      </font>
    </dxf>
    <dxf>
      <font>
        <color theme="9"/>
      </font>
    </dxf>
    <dxf>
      <font>
        <color theme="9"/>
      </font>
    </dxf>
    <dxf>
      <font>
        <color rgb="FF7030A0"/>
      </font>
    </dxf>
    <dxf>
      <font>
        <color rgb="FFFF0000"/>
      </font>
    </dxf>
    <dxf>
      <font>
        <color rgb="FFFF0000"/>
      </font>
    </dxf>
    <dxf>
      <font>
        <color rgb="FFFF0000"/>
      </font>
    </dxf>
    <dxf>
      <font>
        <color auto="1"/>
      </font>
    </dxf>
    <dxf>
      <font>
        <color theme="1"/>
      </font>
    </dxf>
    <dxf>
      <font>
        <color theme="1"/>
      </font>
    </dxf>
    <dxf>
      <font>
        <color rgb="FF7030A0"/>
      </font>
    </dxf>
    <dxf>
      <font>
        <color rgb="FF7030A0"/>
      </font>
    </dxf>
    <dxf>
      <font>
        <color theme="9"/>
      </font>
    </dxf>
    <dxf>
      <font>
        <color theme="9"/>
      </font>
    </dxf>
    <dxf>
      <font>
        <b val="0"/>
        <i val="0"/>
        <strike val="0"/>
      </font>
    </dxf>
    <dxf>
      <font>
        <strike val="0"/>
        <color rgb="FFFF0000"/>
      </font>
    </dxf>
    <dxf>
      <font>
        <strike val="0"/>
        <color rgb="FF7030A0"/>
      </font>
    </dxf>
    <dxf>
      <font>
        <strike val="0"/>
        <color theme="9"/>
      </font>
    </dxf>
    <dxf>
      <font>
        <b val="0"/>
        <i val="0"/>
        <strike val="0"/>
      </font>
    </dxf>
    <dxf>
      <font>
        <strike val="0"/>
        <color rgb="FFFF0000"/>
      </font>
    </dxf>
    <dxf>
      <font>
        <strike val="0"/>
        <color rgb="FF7030A0"/>
      </font>
    </dxf>
    <dxf>
      <font>
        <strike val="0"/>
        <color theme="9"/>
      </font>
    </dxf>
    <dxf>
      <font>
        <b val="0"/>
        <i val="0"/>
        <strike val="0"/>
      </font>
    </dxf>
    <dxf>
      <font>
        <strike val="0"/>
        <color rgb="FFFF0000"/>
      </font>
    </dxf>
    <dxf>
      <font>
        <strike val="0"/>
        <color rgb="FF7030A0"/>
      </font>
    </dxf>
    <dxf>
      <font>
        <strike val="0"/>
        <color theme="9"/>
      </font>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
      <font>
        <b val="0"/>
        <i/>
      </font>
    </dxf>
    <dxf>
      <font>
        <color rgb="FF006100"/>
      </font>
      <fill>
        <patternFill>
          <bgColor rgb="FFC6EFCE"/>
        </patternFill>
      </fill>
    </dxf>
    <dxf>
      <font>
        <b val="0"/>
        <i val="0"/>
        <color rgb="FFFF3300"/>
      </font>
      <fill>
        <patternFill>
          <bgColor theme="5" tint="0.79998168889431442"/>
        </patternFill>
      </fill>
    </dxf>
    <dxf>
      <font>
        <b val="0"/>
        <i val="0"/>
        <color rgb="FF0070C0"/>
      </font>
      <fill>
        <patternFill>
          <bgColor theme="8" tint="0.59996337778862885"/>
        </patternFill>
      </fill>
    </dxf>
    <dxf>
      <font>
        <b val="0"/>
        <i val="0"/>
        <color rgb="FFFF0000"/>
      </font>
      <fill>
        <patternFill>
          <bgColor theme="5" tint="0.79998168889431442"/>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1400175</xdr:colOff>
      <xdr:row>1</xdr:row>
      <xdr:rowOff>38114</xdr:rowOff>
    </xdr:from>
    <xdr:ext cx="1296718" cy="213135"/>
    <xdr:pic>
      <xdr:nvPicPr>
        <xdr:cNvPr id="2" name="Afbeelding 1">
          <a:extLst>
            <a:ext uri="{FF2B5EF4-FFF2-40B4-BE49-F238E27FC236}">
              <a16:creationId xmlns:a16="http://schemas.microsoft.com/office/drawing/2014/main" id="{A3AE2BD1-E082-417D-80E9-C84B2A5F9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6050" y="200039"/>
          <a:ext cx="1296718" cy="21313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en/Calculatie%20en%20acquisitie/Hoofddorp%20Segro/Werkvoorbereiding/Financieel/1.%20Prijsvergelijk/Prijsvergelijk%20Lighthou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en/In%20uitvoering/Projecten%20Genemuiden/Dordrecht%20Lighthouse/Werkvoorbereiding/Financieel/1_Prijsvergelijk/21.0%20Prefab%20elementen/231_PVG_Kanaalplaatvloeren%2015-09-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slissingsoverzicht"/>
      <sheetName val="VBE"/>
      <sheetName val="Meerwerk notitie"/>
      <sheetName val="11.1 Grondwerk"/>
      <sheetName val="13.2_bedrijfsvloer"/>
      <sheetName val="16.1_i.h.w.g.betonwerk"/>
      <sheetName val="200_heiwerk"/>
      <sheetName val="200 Koppensnellen"/>
      <sheetName val="21.3 wand en dakbeplating"/>
      <sheetName val="22.4_plafond en wand"/>
      <sheetName val="23.1_Kanaalplaten"/>
      <sheetName val="230_prefab"/>
      <sheetName val="24.2_ Trappen en balustrade"/>
      <sheetName val="28.1_staalconstructie"/>
      <sheetName val="30.0_alu kozijnen_ vliesge"/>
      <sheetName val="32.4_binnendeuren"/>
      <sheetName val="31.6_industriedeur"/>
      <sheetName val="42.0 Tegelwerk"/>
      <sheetName val="72.2_Aanrijdbeveiliging"/>
      <sheetName val="47.2_kunstst. dakbed."/>
      <sheetName val="93.1 Hekwerk"/>
      <sheetName val="72.2_Fietsenstalling"/>
      <sheetName val="500 installaties"/>
      <sheetName val="500_sprinklerinstallaties"/>
      <sheetName val="66.1 Liftinstallaties"/>
      <sheetName val="5B093 Breeam "/>
      <sheetName val="BASIS (blan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blanco)"/>
      <sheetName val="230_verdiepingsvloeren"/>
    </sheetNames>
    <sheetDataSet>
      <sheetData sheetId="0">
        <row r="57">
          <cell r="G57" t="str">
            <v>ALGEMENE (INKOOP)VOORWAARDEN (versie 12-18) van kracht;</v>
          </cell>
          <cell r="H57"/>
        </row>
        <row r="58">
          <cell r="G58" t="str">
            <v>Offerte wordt van de hand verwezen, alle afspraken staan in de genoemde stukken  of deze excellijst;</v>
          </cell>
          <cell r="H58"/>
        </row>
        <row r="59">
          <cell r="G59" t="str">
            <v>De projectdocumenten worden gedeeld met Docstream, de opdrachtnemer dient zijn documenten hier te delen conform protocol;</v>
          </cell>
          <cell r="H59"/>
        </row>
        <row r="60">
          <cell r="G60" t="str">
            <v>Er wordt gewerkt met Snagstream opdrachtnemer dient hier zich aan te confirmeren en mee te werken;</v>
          </cell>
          <cell r="H60"/>
        </row>
        <row r="61">
          <cell r="G61" t="str">
            <v>Leveren met zelflosser;</v>
          </cell>
          <cell r="H61"/>
        </row>
        <row r="65">
          <cell r="G65" t="str">
            <v>Tekeningen worden enkel digitaal verstrekt (wijzigingen ook);</v>
          </cell>
          <cell r="H65"/>
        </row>
        <row r="66">
          <cell r="G66" t="str">
            <v>Het maken van alle benodigde berekeningen en tekeningen ter goedkeuring en definitief. Tekenwerk in 3D, model in native format en IFC aanleveren;</v>
          </cell>
          <cell r="H66"/>
        </row>
        <row r="67">
          <cell r="G67" t="str">
            <v>Het maken van alle benodigde berekeningen en tekeningen ter goedkeuring en definitief. Tekenwerk in 2D per blad in PDF en DWG;</v>
          </cell>
          <cell r="H67"/>
        </row>
        <row r="68">
          <cell r="G68" t="str">
            <v>Aan te leveren tekeningen en berekeningen opslaan op docstream conform bijbehorende protocol;</v>
          </cell>
          <cell r="H68"/>
        </row>
        <row r="69">
          <cell r="G69" t="str">
            <v>Het maken van een VenG (deel)plan en werkplan;</v>
          </cell>
          <cell r="H69"/>
        </row>
        <row r="71">
          <cell r="G71" t="str">
            <v>(RVS) bevestigingsmiddelen;</v>
          </cell>
          <cell r="H71"/>
        </row>
        <row r="75">
          <cell r="G75" t="str">
            <v>Aan chauffeurs worden de bouwplaats- en afroepplaatstekening voor vrachtwagens verstrekt;</v>
          </cell>
          <cell r="H75"/>
        </row>
        <row r="76">
          <cell r="G76" t="str">
            <v>Parkeren op terrein is mogelijk zover ruimte beschikbaar. Indien de parkeervakken die aangegeven zijn op bouwplaats vol zijn (uitvoerder is hierin bepalend), zal er buiten het terrein geparkeerd moeten worden kosten en verantwoording hiervan liggen bij de opdrachtnemer;</v>
          </cell>
          <cell r="H76"/>
        </row>
        <row r="78">
          <cell r="G78" t="str">
            <v>Afwijkingen in de aantallen, afmetingen en hoeveelheden worden, bij ongewijzigde stukken,  niet verrekend en zijn dus voor rekening en risico van de opdrachtnemer;</v>
          </cell>
          <cell r="H78"/>
        </row>
        <row r="80">
          <cell r="G80" t="str">
            <v>Rekening houden met meerdere arbeidsgangen en meerdere bouwstromen tegelijk;</v>
          </cell>
          <cell r="H80"/>
        </row>
        <row r="81">
          <cell r="G81" t="str">
            <v>De opdrachtnemer wordt geacht met de situatie ter plaatse bekend te zijn;</v>
          </cell>
          <cell r="H81"/>
        </row>
        <row r="82">
          <cell r="G82" t="str">
            <v>Uitvoering onder normering ‘Bewuste Bouwers’;</v>
          </cell>
          <cell r="H82"/>
        </row>
        <row r="83">
          <cell r="G83" t="str">
            <v>Het inachtnemen en leveren van de ARBO-veiligheidsvoorzieningen (complete randbeveiliging);</v>
          </cell>
          <cell r="H83"/>
        </row>
        <row r="84">
          <cell r="G84" t="str">
            <v>Er vindt geen verrekening plaats als gevolg van prijsstijgingen in welke vorm dan ook;</v>
          </cell>
          <cell r="H84"/>
        </row>
        <row r="85">
          <cell r="G85" t="str">
            <v>De levering en werkzaamheden dienen te voldoen aan alle thans geldende voorschriften;</v>
          </cell>
          <cell r="H85"/>
        </row>
        <row r="87">
          <cell r="G87" t="str">
            <v>De opdrachtnemer wordt geacht om de materialen te  verwerken conform de verwerkingsvoorschriften (van fabrikant);</v>
          </cell>
          <cell r="H87"/>
        </row>
        <row r="88">
          <cell r="G88" t="str">
            <v>Het leveren van alle materialen onder KOMO-attest-met productcertificaat en aantoonbare herkomst;</v>
          </cell>
          <cell r="H88"/>
        </row>
        <row r="89">
          <cell r="G89" t="str">
            <v>Indien hout geleverd wordt zal het hout FSC gecertificeerd dienen te zijn;</v>
          </cell>
          <cell r="H89"/>
        </row>
        <row r="90">
          <cell r="G90" t="str">
            <v>Het is onderaannemer niet toegestaan reclame te maken over dit project ofwel meldingen hierover te verspreiden op Social Media, zonder nadrukkelijke toestemming van Pleijsier Bouw;</v>
          </cell>
          <cell r="H90"/>
        </row>
        <row r="91">
          <cell r="G91" t="str">
            <v>Opslag op bouwplaats beperkt mogelijk en alleen in overleg met de uitvoerder van Pleijsier (geldt ook voor keten/containers);</v>
          </cell>
          <cell r="H91"/>
        </row>
      </sheetData>
      <sheetData sheetId="1"/>
    </sheetDataSet>
  </externalBook>
</externalLink>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99D6-E8D2-46FB-AAD5-D9E38D90D85C}">
  <sheetPr>
    <pageSetUpPr fitToPage="1"/>
  </sheetPr>
  <dimension ref="A1:AC165"/>
  <sheetViews>
    <sheetView tabSelected="1" zoomScaleNormal="100" zoomScaleSheetLayoutView="100" workbookViewId="0">
      <selection activeCell="AB120" sqref="AB120"/>
    </sheetView>
  </sheetViews>
  <sheetFormatPr defaultRowHeight="10.199999999999999" x14ac:dyDescent="0.2"/>
  <cols>
    <col min="1" max="1" width="46.7109375" customWidth="1"/>
    <col min="2" max="2" width="9.140625" customWidth="1"/>
    <col min="3" max="3" width="5.7109375" customWidth="1"/>
    <col min="4" max="4" width="12.28515625" customWidth="1"/>
    <col min="5" max="5" width="15" customWidth="1"/>
    <col min="6" max="6" width="3.140625" customWidth="1"/>
    <col min="7" max="7" width="12" customWidth="1"/>
    <col min="8" max="8" width="58" customWidth="1"/>
    <col min="9" max="9" width="4.85546875" hidden="1" customWidth="1"/>
    <col min="10" max="10" width="10.42578125" hidden="1" customWidth="1"/>
    <col min="11" max="11" width="7.42578125" hidden="1" customWidth="1"/>
    <col min="12" max="12" width="10.28515625" hidden="1" customWidth="1"/>
    <col min="13" max="13" width="19.42578125" hidden="1" customWidth="1"/>
    <col min="14" max="14" width="41.7109375" hidden="1" customWidth="1"/>
    <col min="15" max="15" width="9.85546875" hidden="1" customWidth="1"/>
    <col min="16" max="16" width="7.42578125" hidden="1" customWidth="1"/>
    <col min="17" max="17" width="10.28515625" hidden="1" customWidth="1"/>
    <col min="18" max="18" width="19.42578125" hidden="1" customWidth="1"/>
    <col min="19" max="19" width="38" hidden="1" customWidth="1"/>
    <col min="20" max="20" width="9.85546875" hidden="1" customWidth="1"/>
    <col min="21" max="21" width="7.42578125" hidden="1" customWidth="1"/>
    <col min="22" max="22" width="10.28515625" hidden="1" customWidth="1"/>
    <col min="23" max="23" width="19.42578125" hidden="1" customWidth="1"/>
    <col min="24" max="24" width="47.140625" hidden="1" customWidth="1"/>
    <col min="25" max="25" width="9.85546875" customWidth="1"/>
    <col min="26" max="26" width="7.42578125" customWidth="1"/>
    <col min="27" max="27" width="10.28515625" customWidth="1"/>
    <col min="28" max="28" width="19.42578125" customWidth="1"/>
    <col min="29" max="29" width="47.140625" customWidth="1"/>
  </cols>
  <sheetData>
    <row r="1" spans="1:29" ht="13.8" x14ac:dyDescent="0.3">
      <c r="A1" s="247" t="s">
        <v>113</v>
      </c>
      <c r="B1" s="246"/>
      <c r="C1" s="245"/>
      <c r="D1" s="244"/>
      <c r="E1" s="236"/>
      <c r="F1" s="243" t="s">
        <v>112</v>
      </c>
      <c r="G1" s="243"/>
      <c r="H1" s="243"/>
      <c r="I1" s="243"/>
      <c r="J1" s="242" t="s">
        <v>111</v>
      </c>
      <c r="K1" s="241"/>
      <c r="L1" s="240"/>
      <c r="M1" s="239"/>
      <c r="N1" s="238"/>
      <c r="O1" s="237"/>
      <c r="P1" s="236"/>
      <c r="Q1" s="235"/>
      <c r="R1" s="234"/>
      <c r="S1" s="233"/>
      <c r="T1" s="237"/>
      <c r="U1" s="236"/>
      <c r="V1" s="235"/>
      <c r="W1" s="234"/>
      <c r="X1" s="233"/>
      <c r="Y1" s="237"/>
      <c r="Z1" s="236"/>
      <c r="AA1" s="235"/>
      <c r="AB1" s="234"/>
      <c r="AC1" s="233"/>
    </row>
    <row r="2" spans="1:29" ht="13.8" x14ac:dyDescent="0.3">
      <c r="A2" s="232"/>
      <c r="B2" s="231"/>
      <c r="C2" s="230"/>
      <c r="D2" s="229"/>
      <c r="E2" s="228"/>
      <c r="F2" s="210"/>
      <c r="G2" s="213" t="s">
        <v>110</v>
      </c>
      <c r="H2" s="219" t="s">
        <v>109</v>
      </c>
      <c r="I2" s="219"/>
      <c r="J2" s="226" t="s">
        <v>107</v>
      </c>
      <c r="K2" s="288" t="s">
        <v>20</v>
      </c>
      <c r="L2" s="288"/>
      <c r="M2" s="288"/>
      <c r="N2" s="224"/>
      <c r="O2" s="225" t="s">
        <v>107</v>
      </c>
      <c r="P2" s="288" t="s">
        <v>108</v>
      </c>
      <c r="Q2" s="288"/>
      <c r="R2" s="288"/>
      <c r="S2" s="224"/>
      <c r="T2" s="225" t="s">
        <v>107</v>
      </c>
      <c r="U2" s="288" t="s">
        <v>106</v>
      </c>
      <c r="V2" s="288"/>
      <c r="W2" s="288"/>
      <c r="X2" s="224"/>
      <c r="Y2" s="225" t="s">
        <v>107</v>
      </c>
      <c r="Z2" s="288" t="s">
        <v>19</v>
      </c>
      <c r="AA2" s="288"/>
      <c r="AB2" s="288"/>
      <c r="AC2" s="224"/>
    </row>
    <row r="3" spans="1:29" ht="13.8" x14ac:dyDescent="0.3">
      <c r="A3" s="232"/>
      <c r="B3" s="231"/>
      <c r="C3" s="230"/>
      <c r="D3" s="229"/>
      <c r="E3" s="228"/>
      <c r="F3" s="210"/>
      <c r="G3" s="213" t="s">
        <v>105</v>
      </c>
      <c r="H3" s="219" t="s">
        <v>104</v>
      </c>
      <c r="I3" s="219"/>
      <c r="J3" s="226" t="s">
        <v>99</v>
      </c>
      <c r="K3" s="289">
        <v>44727</v>
      </c>
      <c r="L3" s="290"/>
      <c r="M3" s="290"/>
      <c r="N3" s="224"/>
      <c r="O3" s="225" t="s">
        <v>99</v>
      </c>
      <c r="P3" s="289">
        <v>44747</v>
      </c>
      <c r="Q3" s="290"/>
      <c r="R3" s="290"/>
      <c r="S3" s="224"/>
      <c r="T3" s="225" t="s">
        <v>99</v>
      </c>
      <c r="U3" s="289">
        <v>44747</v>
      </c>
      <c r="V3" s="290"/>
      <c r="W3" s="290"/>
      <c r="X3" s="224"/>
      <c r="Y3" s="225" t="s">
        <v>99</v>
      </c>
      <c r="Z3" s="289">
        <v>44729</v>
      </c>
      <c r="AA3" s="290"/>
      <c r="AB3" s="290"/>
      <c r="AC3" s="224"/>
    </row>
    <row r="4" spans="1:29" ht="13.8" x14ac:dyDescent="0.3">
      <c r="A4" s="223"/>
      <c r="B4" s="222"/>
      <c r="C4" s="221"/>
      <c r="D4" s="220"/>
      <c r="E4" s="227"/>
      <c r="F4" s="210"/>
      <c r="G4" s="213" t="s">
        <v>103</v>
      </c>
      <c r="H4" s="219">
        <v>122002</v>
      </c>
      <c r="I4" s="219"/>
      <c r="J4" s="226" t="s">
        <v>102</v>
      </c>
      <c r="K4" s="291"/>
      <c r="L4" s="288"/>
      <c r="M4" s="288"/>
      <c r="N4" s="224"/>
      <c r="O4" s="225" t="s">
        <v>102</v>
      </c>
      <c r="P4" s="291"/>
      <c r="Q4" s="288"/>
      <c r="R4" s="288"/>
      <c r="S4" s="224"/>
      <c r="T4" s="225" t="s">
        <v>102</v>
      </c>
      <c r="U4" s="291"/>
      <c r="V4" s="288"/>
      <c r="W4" s="288"/>
      <c r="X4" s="224"/>
      <c r="Y4" s="225" t="s">
        <v>102</v>
      </c>
      <c r="Z4" s="291"/>
      <c r="AA4" s="288"/>
      <c r="AB4" s="288"/>
      <c r="AC4" s="224"/>
    </row>
    <row r="5" spans="1:29" ht="13.8" x14ac:dyDescent="0.3">
      <c r="A5" s="223"/>
      <c r="B5" s="222"/>
      <c r="C5" s="221"/>
      <c r="D5" s="220"/>
      <c r="E5" s="206"/>
      <c r="F5" s="210"/>
      <c r="G5" s="213" t="s">
        <v>101</v>
      </c>
      <c r="H5" s="219" t="s">
        <v>100</v>
      </c>
      <c r="I5" s="219"/>
      <c r="J5" s="211"/>
      <c r="K5" s="210"/>
      <c r="L5" s="209"/>
      <c r="M5" s="208"/>
      <c r="N5" s="207"/>
      <c r="O5" s="210"/>
      <c r="P5" s="210"/>
      <c r="Q5" s="209"/>
      <c r="R5" s="208"/>
      <c r="S5" s="207"/>
      <c r="T5" s="210"/>
      <c r="U5" s="210"/>
      <c r="V5" s="209"/>
      <c r="W5" s="208"/>
      <c r="X5" s="207"/>
      <c r="Y5" s="210"/>
      <c r="Z5" s="210"/>
      <c r="AA5" s="209"/>
      <c r="AB5" s="208"/>
      <c r="AC5" s="207"/>
    </row>
    <row r="6" spans="1:29" ht="13.8" x14ac:dyDescent="0.3">
      <c r="A6" s="218"/>
      <c r="B6" s="217"/>
      <c r="C6" s="216"/>
      <c r="D6" s="215"/>
      <c r="E6" s="214"/>
      <c r="F6" s="210"/>
      <c r="G6" s="213" t="s">
        <v>99</v>
      </c>
      <c r="H6" s="212">
        <v>44834</v>
      </c>
      <c r="I6" s="212"/>
      <c r="J6" s="211"/>
      <c r="K6" s="210"/>
      <c r="L6" s="209"/>
      <c r="M6" s="208"/>
      <c r="N6" s="207"/>
      <c r="O6" s="210"/>
      <c r="P6" s="210"/>
      <c r="Q6" s="209"/>
      <c r="R6" s="208"/>
      <c r="S6" s="207"/>
      <c r="T6" s="210"/>
      <c r="U6" s="210"/>
      <c r="V6" s="209"/>
      <c r="W6" s="208"/>
      <c r="X6" s="207"/>
      <c r="Y6" s="210"/>
      <c r="Z6" s="210"/>
      <c r="AA6" s="209"/>
      <c r="AB6" s="208"/>
      <c r="AC6" s="207"/>
    </row>
    <row r="7" spans="1:29" ht="13.8" x14ac:dyDescent="0.3">
      <c r="A7" s="63"/>
      <c r="B7" s="10"/>
      <c r="C7" s="10"/>
      <c r="D7" s="10"/>
      <c r="E7" s="10"/>
      <c r="F7" s="205"/>
      <c r="G7" s="206"/>
      <c r="H7" s="205"/>
      <c r="I7" s="57"/>
      <c r="J7" s="204"/>
      <c r="K7" s="202"/>
      <c r="L7" s="201"/>
      <c r="M7" s="200"/>
      <c r="N7" s="199"/>
      <c r="O7" s="203"/>
      <c r="P7" s="202"/>
      <c r="Q7" s="201"/>
      <c r="R7" s="200"/>
      <c r="S7" s="199"/>
      <c r="T7" s="203"/>
      <c r="U7" s="202"/>
      <c r="V7" s="201"/>
      <c r="W7" s="200"/>
      <c r="X7" s="199"/>
      <c r="Y7" s="203"/>
      <c r="Z7" s="202"/>
      <c r="AA7" s="201"/>
      <c r="AB7" s="200"/>
      <c r="AC7" s="199"/>
    </row>
    <row r="8" spans="1:29" x14ac:dyDescent="0.2">
      <c r="A8" s="198" t="s">
        <v>98</v>
      </c>
      <c r="B8" s="197" t="s">
        <v>96</v>
      </c>
      <c r="C8" s="193" t="s">
        <v>95</v>
      </c>
      <c r="D8" s="196" t="s">
        <v>94</v>
      </c>
      <c r="E8" s="195" t="s">
        <v>93</v>
      </c>
      <c r="F8" s="296" t="s">
        <v>97</v>
      </c>
      <c r="G8" s="296"/>
      <c r="H8" s="296"/>
      <c r="I8" s="249"/>
      <c r="J8" s="194" t="s">
        <v>96</v>
      </c>
      <c r="K8" s="193" t="s">
        <v>95</v>
      </c>
      <c r="L8" s="193" t="s">
        <v>94</v>
      </c>
      <c r="M8" s="192" t="s">
        <v>93</v>
      </c>
      <c r="N8" s="191" t="s">
        <v>92</v>
      </c>
      <c r="O8" s="193" t="s">
        <v>96</v>
      </c>
      <c r="P8" s="193" t="s">
        <v>95</v>
      </c>
      <c r="Q8" s="193" t="s">
        <v>94</v>
      </c>
      <c r="R8" s="192" t="s">
        <v>93</v>
      </c>
      <c r="S8" s="191" t="s">
        <v>92</v>
      </c>
      <c r="T8" s="193" t="s">
        <v>96</v>
      </c>
      <c r="U8" s="193" t="s">
        <v>95</v>
      </c>
      <c r="V8" s="193" t="s">
        <v>94</v>
      </c>
      <c r="W8" s="192" t="s">
        <v>93</v>
      </c>
      <c r="X8" s="191" t="s">
        <v>92</v>
      </c>
      <c r="Y8" s="193" t="s">
        <v>96</v>
      </c>
      <c r="Z8" s="193" t="s">
        <v>95</v>
      </c>
      <c r="AA8" s="193" t="s">
        <v>94</v>
      </c>
      <c r="AB8" s="192" t="s">
        <v>93</v>
      </c>
      <c r="AC8" s="191" t="s">
        <v>92</v>
      </c>
    </row>
    <row r="9" spans="1:29" x14ac:dyDescent="0.2">
      <c r="A9" s="189"/>
      <c r="B9" s="188"/>
      <c r="C9" s="188"/>
      <c r="D9" s="188"/>
      <c r="E9" s="190"/>
      <c r="F9" s="297"/>
      <c r="G9" s="297"/>
      <c r="H9" s="297"/>
      <c r="I9" s="250"/>
      <c r="J9" s="189"/>
      <c r="K9" s="188"/>
      <c r="L9" s="188"/>
      <c r="M9" s="187"/>
      <c r="N9" s="186"/>
      <c r="O9" s="188"/>
      <c r="P9" s="188"/>
      <c r="Q9" s="188"/>
      <c r="R9" s="187"/>
      <c r="S9" s="186"/>
      <c r="T9" s="188"/>
      <c r="U9" s="188"/>
      <c r="V9" s="188"/>
      <c r="W9" s="187"/>
      <c r="X9" s="186"/>
      <c r="Y9" s="188"/>
      <c r="Z9" s="188"/>
      <c r="AA9" s="188"/>
      <c r="AB9" s="187"/>
      <c r="AC9" s="186"/>
    </row>
    <row r="10" spans="1:29" ht="33.6" customHeight="1" x14ac:dyDescent="0.2">
      <c r="A10" s="185" t="s">
        <v>91</v>
      </c>
      <c r="B10" s="184"/>
      <c r="C10" s="183"/>
      <c r="D10" s="182"/>
      <c r="E10" s="181"/>
      <c r="F10" s="180"/>
      <c r="G10" s="298"/>
      <c r="H10" s="299"/>
      <c r="I10" s="251"/>
      <c r="J10" s="300" t="s">
        <v>90</v>
      </c>
      <c r="K10" s="286"/>
      <c r="L10" s="286"/>
      <c r="M10" s="287"/>
      <c r="N10" s="179"/>
      <c r="O10" s="286" t="s">
        <v>90</v>
      </c>
      <c r="P10" s="286"/>
      <c r="Q10" s="286"/>
      <c r="R10" s="287"/>
      <c r="S10" s="179"/>
      <c r="T10" s="286" t="s">
        <v>90</v>
      </c>
      <c r="U10" s="286"/>
      <c r="V10" s="286"/>
      <c r="W10" s="287"/>
      <c r="X10" s="179"/>
      <c r="Y10" s="286" t="s">
        <v>90</v>
      </c>
      <c r="Z10" s="286"/>
      <c r="AA10" s="286"/>
      <c r="AB10" s="287"/>
      <c r="AC10" s="179"/>
    </row>
    <row r="11" spans="1:29" x14ac:dyDescent="0.2">
      <c r="A11" s="279" t="s">
        <v>146</v>
      </c>
      <c r="B11" s="280">
        <v>878</v>
      </c>
      <c r="C11" s="281" t="s">
        <v>35</v>
      </c>
      <c r="D11" s="280">
        <v>56.44</v>
      </c>
      <c r="E11" s="282">
        <f>B11*D11</f>
        <v>49554.32</v>
      </c>
      <c r="F11" s="178" t="s">
        <v>89</v>
      </c>
      <c r="G11" s="301" t="s">
        <v>88</v>
      </c>
      <c r="H11" s="302"/>
      <c r="I11" s="252"/>
      <c r="J11" s="114"/>
      <c r="K11" s="112"/>
      <c r="L11" s="159"/>
      <c r="M11" s="158"/>
      <c r="N11" s="175"/>
      <c r="O11" s="112"/>
      <c r="P11" s="112"/>
      <c r="Q11" s="159"/>
      <c r="R11" s="158"/>
      <c r="S11" s="175"/>
      <c r="T11" s="112"/>
      <c r="U11" s="112"/>
      <c r="V11" s="159"/>
      <c r="W11" s="158"/>
      <c r="X11" s="175"/>
      <c r="Y11" s="112"/>
      <c r="Z11" s="112"/>
      <c r="AA11" s="159"/>
      <c r="AB11" s="158"/>
      <c r="AC11" s="175"/>
    </row>
    <row r="12" spans="1:29" x14ac:dyDescent="0.2">
      <c r="A12" s="279" t="s">
        <v>127</v>
      </c>
      <c r="B12" s="280">
        <v>1</v>
      </c>
      <c r="C12" s="281"/>
      <c r="D12" s="280">
        <v>937</v>
      </c>
      <c r="E12" s="282">
        <f t="shared" ref="E12:E20" si="0">B12*D12</f>
        <v>937</v>
      </c>
      <c r="F12" s="177">
        <v>1</v>
      </c>
      <c r="G12" s="294" t="s">
        <v>144</v>
      </c>
      <c r="H12" s="295"/>
      <c r="I12" s="248"/>
      <c r="J12" s="129"/>
      <c r="K12" s="128"/>
      <c r="L12" s="142"/>
      <c r="M12" s="122" t="s">
        <v>4</v>
      </c>
      <c r="N12" s="121"/>
      <c r="O12" s="128"/>
      <c r="P12" s="128"/>
      <c r="Q12" s="142"/>
      <c r="R12" s="122" t="s">
        <v>4</v>
      </c>
      <c r="S12" s="121"/>
      <c r="T12" s="129"/>
      <c r="U12" s="128"/>
      <c r="V12" s="142"/>
      <c r="W12" s="122" t="s">
        <v>4</v>
      </c>
      <c r="X12" s="121"/>
      <c r="Y12" s="129"/>
      <c r="Z12" s="128"/>
      <c r="AA12" s="142"/>
      <c r="AB12" s="122" t="s">
        <v>4</v>
      </c>
      <c r="AC12" s="121"/>
    </row>
    <row r="13" spans="1:29" x14ac:dyDescent="0.2">
      <c r="A13" s="279" t="s">
        <v>128</v>
      </c>
      <c r="B13" s="280">
        <v>878</v>
      </c>
      <c r="C13" s="281"/>
      <c r="D13" s="280">
        <v>0.3</v>
      </c>
      <c r="E13" s="282">
        <f t="shared" si="0"/>
        <v>263.39999999999998</v>
      </c>
      <c r="F13" s="177">
        <v>2</v>
      </c>
      <c r="G13" s="275" t="s">
        <v>147</v>
      </c>
      <c r="H13" s="276"/>
      <c r="I13" s="248"/>
      <c r="J13" s="129"/>
      <c r="K13" s="128"/>
      <c r="L13" s="142"/>
      <c r="M13" s="122" t="s">
        <v>4</v>
      </c>
      <c r="N13" s="121"/>
      <c r="O13" s="128"/>
      <c r="P13" s="128"/>
      <c r="Q13" s="142"/>
      <c r="R13" s="122" t="s">
        <v>4</v>
      </c>
      <c r="S13" s="121"/>
      <c r="T13" s="129"/>
      <c r="U13" s="128"/>
      <c r="V13" s="142"/>
      <c r="W13" s="122" t="s">
        <v>4</v>
      </c>
      <c r="X13" s="121"/>
      <c r="Y13" s="129"/>
      <c r="Z13" s="128"/>
      <c r="AA13" s="142"/>
      <c r="AB13" s="122" t="s">
        <v>4</v>
      </c>
      <c r="AC13" s="121"/>
    </row>
    <row r="14" spans="1:29" x14ac:dyDescent="0.2">
      <c r="A14" s="279" t="s">
        <v>129</v>
      </c>
      <c r="B14" s="280">
        <v>1708</v>
      </c>
      <c r="C14" s="281"/>
      <c r="D14" s="280">
        <v>0.65</v>
      </c>
      <c r="E14" s="282">
        <f t="shared" si="0"/>
        <v>1110.2</v>
      </c>
      <c r="F14" s="177">
        <v>3</v>
      </c>
      <c r="G14" s="275" t="s">
        <v>148</v>
      </c>
      <c r="H14" s="276"/>
      <c r="I14" s="248"/>
      <c r="J14" s="129"/>
      <c r="K14" s="128"/>
      <c r="L14" s="142"/>
      <c r="M14" s="122" t="s">
        <v>4</v>
      </c>
      <c r="N14" s="121"/>
      <c r="O14" s="128"/>
      <c r="P14" s="128"/>
      <c r="Q14" s="142"/>
      <c r="R14" s="122" t="s">
        <v>4</v>
      </c>
      <c r="S14" s="121"/>
      <c r="T14" s="129"/>
      <c r="U14" s="128"/>
      <c r="V14" s="142"/>
      <c r="W14" s="122" t="s">
        <v>4</v>
      </c>
      <c r="X14" s="121"/>
      <c r="Y14" s="129"/>
      <c r="Z14" s="128"/>
      <c r="AA14" s="142"/>
      <c r="AB14" s="122" t="s">
        <v>4</v>
      </c>
      <c r="AC14" s="121"/>
    </row>
    <row r="15" spans="1:29" x14ac:dyDescent="0.2">
      <c r="A15" s="279" t="s">
        <v>130</v>
      </c>
      <c r="B15" s="280">
        <v>878</v>
      </c>
      <c r="C15" s="281"/>
      <c r="D15" s="280">
        <v>0.65</v>
      </c>
      <c r="E15" s="282">
        <f t="shared" si="0"/>
        <v>570.70000000000005</v>
      </c>
      <c r="F15" s="177">
        <v>4</v>
      </c>
      <c r="G15" s="275" t="s">
        <v>149</v>
      </c>
      <c r="H15" s="276"/>
      <c r="I15" s="248"/>
      <c r="J15" s="129"/>
      <c r="K15" s="128"/>
      <c r="L15" s="142"/>
      <c r="M15" s="122" t="s">
        <v>4</v>
      </c>
      <c r="N15" s="121"/>
      <c r="O15" s="128"/>
      <c r="P15" s="128"/>
      <c r="Q15" s="142"/>
      <c r="R15" s="122" t="s">
        <v>4</v>
      </c>
      <c r="S15" s="121"/>
      <c r="T15" s="129"/>
      <c r="U15" s="128"/>
      <c r="V15" s="142"/>
      <c r="W15" s="122" t="s">
        <v>4</v>
      </c>
      <c r="X15" s="121"/>
      <c r="Y15" s="129"/>
      <c r="Z15" s="128"/>
      <c r="AA15" s="142"/>
      <c r="AB15" s="122" t="s">
        <v>4</v>
      </c>
      <c r="AC15" s="121"/>
    </row>
    <row r="16" spans="1:29" x14ac:dyDescent="0.2">
      <c r="A16" s="120" t="s">
        <v>145</v>
      </c>
      <c r="B16" s="134">
        <v>4</v>
      </c>
      <c r="C16" s="133"/>
      <c r="D16" s="134">
        <v>66</v>
      </c>
      <c r="E16" s="131">
        <f t="shared" si="0"/>
        <v>264</v>
      </c>
      <c r="F16" s="177">
        <v>5</v>
      </c>
      <c r="G16" s="275" t="s">
        <v>150</v>
      </c>
      <c r="H16" s="276"/>
      <c r="I16" s="248"/>
      <c r="J16" s="129"/>
      <c r="K16" s="128"/>
      <c r="L16" s="142"/>
      <c r="M16" s="122" t="s">
        <v>4</v>
      </c>
      <c r="N16" s="121"/>
      <c r="O16" s="128"/>
      <c r="P16" s="128"/>
      <c r="Q16" s="142"/>
      <c r="R16" s="122" t="s">
        <v>4</v>
      </c>
      <c r="S16" s="121"/>
      <c r="T16" s="129"/>
      <c r="U16" s="128"/>
      <c r="V16" s="142"/>
      <c r="W16" s="122" t="s">
        <v>4</v>
      </c>
      <c r="X16" s="121"/>
      <c r="Y16" s="129"/>
      <c r="Z16" s="128"/>
      <c r="AA16" s="142"/>
      <c r="AB16" s="122" t="s">
        <v>4</v>
      </c>
      <c r="AC16" s="121"/>
    </row>
    <row r="17" spans="1:29" x14ac:dyDescent="0.2">
      <c r="A17" s="279" t="s">
        <v>131</v>
      </c>
      <c r="B17" s="280">
        <v>8</v>
      </c>
      <c r="C17" s="281"/>
      <c r="D17" s="280">
        <v>500</v>
      </c>
      <c r="E17" s="282">
        <f t="shared" si="0"/>
        <v>4000</v>
      </c>
      <c r="F17" s="177">
        <v>6</v>
      </c>
      <c r="G17" s="292" t="s">
        <v>151</v>
      </c>
      <c r="H17" s="293"/>
      <c r="I17" s="248"/>
      <c r="J17" s="129"/>
      <c r="K17" s="128"/>
      <c r="L17" s="142"/>
      <c r="M17" s="122" t="s">
        <v>4</v>
      </c>
      <c r="N17" s="121"/>
      <c r="O17" s="128"/>
      <c r="P17" s="128"/>
      <c r="Q17" s="142"/>
      <c r="R17" s="122" t="s">
        <v>4</v>
      </c>
      <c r="S17" s="121"/>
      <c r="T17" s="129"/>
      <c r="U17" s="128"/>
      <c r="V17" s="142"/>
      <c r="W17" s="122" t="s">
        <v>4</v>
      </c>
      <c r="X17" s="121"/>
      <c r="Y17" s="129"/>
      <c r="Z17" s="128"/>
      <c r="AA17" s="142"/>
      <c r="AB17" s="122" t="s">
        <v>4</v>
      </c>
      <c r="AC17" s="121"/>
    </row>
    <row r="18" spans="1:29" x14ac:dyDescent="0.2">
      <c r="A18" s="279" t="s">
        <v>132</v>
      </c>
      <c r="B18" s="280">
        <v>878</v>
      </c>
      <c r="C18" s="281"/>
      <c r="D18" s="280">
        <v>1</v>
      </c>
      <c r="E18" s="282">
        <f t="shared" si="0"/>
        <v>878</v>
      </c>
      <c r="F18" s="177">
        <v>7</v>
      </c>
      <c r="G18" s="294" t="s">
        <v>152</v>
      </c>
      <c r="H18" s="295"/>
      <c r="I18" s="270"/>
      <c r="J18" s="129"/>
      <c r="K18" s="128"/>
      <c r="L18" s="142"/>
      <c r="M18" s="122" t="s">
        <v>4</v>
      </c>
      <c r="N18" s="121"/>
      <c r="O18" s="128"/>
      <c r="P18" s="128"/>
      <c r="Q18" s="142"/>
      <c r="R18" s="122" t="s">
        <v>4</v>
      </c>
      <c r="S18" s="121"/>
      <c r="T18" s="129"/>
      <c r="U18" s="128"/>
      <c r="V18" s="142"/>
      <c r="W18" s="122" t="s">
        <v>4</v>
      </c>
      <c r="X18" s="121"/>
      <c r="Y18" s="129"/>
      <c r="Z18" s="128"/>
      <c r="AA18" s="142"/>
      <c r="AB18" s="122" t="s">
        <v>4</v>
      </c>
      <c r="AC18" s="121"/>
    </row>
    <row r="19" spans="1:29" x14ac:dyDescent="0.2">
      <c r="A19" s="120"/>
      <c r="B19" s="134"/>
      <c r="C19" s="133"/>
      <c r="D19" s="134"/>
      <c r="E19" s="131">
        <f t="shared" si="0"/>
        <v>0</v>
      </c>
      <c r="F19" s="177">
        <v>8</v>
      </c>
      <c r="G19" s="294" t="s">
        <v>42</v>
      </c>
      <c r="H19" s="295"/>
      <c r="I19" s="270"/>
      <c r="J19" s="129"/>
      <c r="K19" s="128"/>
      <c r="L19" s="142"/>
      <c r="M19" s="122" t="s">
        <v>4</v>
      </c>
      <c r="N19" s="121"/>
      <c r="O19" s="128"/>
      <c r="P19" s="128"/>
      <c r="Q19" s="142"/>
      <c r="R19" s="122" t="s">
        <v>4</v>
      </c>
      <c r="S19" s="121"/>
      <c r="T19" s="129"/>
      <c r="U19" s="128"/>
      <c r="V19" s="142"/>
      <c r="W19" s="122" t="s">
        <v>4</v>
      </c>
      <c r="X19" s="121"/>
      <c r="Y19" s="129"/>
      <c r="Z19" s="128"/>
      <c r="AA19" s="142"/>
      <c r="AB19" s="122" t="s">
        <v>42</v>
      </c>
      <c r="AC19" s="121"/>
    </row>
    <row r="20" spans="1:29" x14ac:dyDescent="0.2">
      <c r="A20" s="120"/>
      <c r="B20" s="134"/>
      <c r="C20" s="133"/>
      <c r="D20" s="134"/>
      <c r="E20" s="131">
        <f t="shared" si="0"/>
        <v>0</v>
      </c>
      <c r="F20" s="177">
        <v>9</v>
      </c>
      <c r="G20" s="294" t="s">
        <v>153</v>
      </c>
      <c r="H20" s="295"/>
      <c r="I20" s="270"/>
      <c r="J20" s="129"/>
      <c r="K20" s="128"/>
      <c r="L20" s="142"/>
      <c r="M20" s="122" t="s">
        <v>4</v>
      </c>
      <c r="N20" s="121"/>
      <c r="O20" s="128"/>
      <c r="P20" s="128"/>
      <c r="Q20" s="142"/>
      <c r="R20" s="122" t="s">
        <v>4</v>
      </c>
      <c r="S20" s="121"/>
      <c r="T20" s="129"/>
      <c r="U20" s="128"/>
      <c r="V20" s="142"/>
      <c r="W20" s="122" t="s">
        <v>4</v>
      </c>
      <c r="X20" s="121"/>
      <c r="Y20" s="129"/>
      <c r="Z20" s="128"/>
      <c r="AA20" s="142"/>
      <c r="AB20" s="122" t="s">
        <v>4</v>
      </c>
      <c r="AC20" s="121"/>
    </row>
    <row r="21" spans="1:29" x14ac:dyDescent="0.2">
      <c r="F21" s="177">
        <v>10</v>
      </c>
      <c r="G21" s="294" t="s">
        <v>42</v>
      </c>
      <c r="H21" s="295"/>
      <c r="I21" s="270"/>
      <c r="J21" s="129"/>
      <c r="K21" s="128"/>
      <c r="L21" s="142"/>
      <c r="M21" s="122" t="s">
        <v>4</v>
      </c>
      <c r="N21" s="121"/>
      <c r="O21" s="128"/>
      <c r="P21" s="128"/>
      <c r="Q21" s="142"/>
      <c r="R21" s="122" t="s">
        <v>4</v>
      </c>
      <c r="S21" s="121"/>
      <c r="T21" s="129"/>
      <c r="U21" s="128"/>
      <c r="V21" s="142"/>
      <c r="W21" s="122" t="s">
        <v>4</v>
      </c>
      <c r="X21" s="121"/>
      <c r="Y21" s="129"/>
      <c r="Z21" s="128"/>
      <c r="AA21" s="142"/>
      <c r="AB21" s="122" t="s">
        <v>42</v>
      </c>
      <c r="AC21" s="121"/>
    </row>
    <row r="22" spans="1:29" x14ac:dyDescent="0.2">
      <c r="A22" s="279" t="s">
        <v>133</v>
      </c>
      <c r="B22" s="280">
        <v>244</v>
      </c>
      <c r="C22" s="281"/>
      <c r="D22" s="280">
        <v>63.48</v>
      </c>
      <c r="E22" s="282">
        <f t="shared" ref="E22:E29" si="1">B22*D22</f>
        <v>15489.119999999999</v>
      </c>
      <c r="F22" s="109" t="s">
        <v>87</v>
      </c>
      <c r="G22" s="301" t="s">
        <v>86</v>
      </c>
      <c r="H22" s="302"/>
      <c r="I22" s="252"/>
      <c r="J22" s="114"/>
      <c r="K22" s="112"/>
      <c r="L22" s="176"/>
      <c r="M22" s="158"/>
      <c r="N22" s="175"/>
      <c r="O22" s="112"/>
      <c r="P22" s="112"/>
      <c r="Q22" s="159"/>
      <c r="R22" s="158"/>
      <c r="S22" s="175"/>
      <c r="T22" s="112"/>
      <c r="U22" s="112"/>
      <c r="V22" s="159"/>
      <c r="W22" s="158"/>
      <c r="X22" s="175"/>
      <c r="Y22" s="112"/>
      <c r="Z22" s="112"/>
      <c r="AA22" s="159"/>
      <c r="AB22" s="158"/>
      <c r="AC22" s="175"/>
    </row>
    <row r="23" spans="1:29" x14ac:dyDescent="0.2">
      <c r="A23" s="279" t="s">
        <v>134</v>
      </c>
      <c r="B23" s="280">
        <v>934</v>
      </c>
      <c r="C23" s="281"/>
      <c r="D23" s="280">
        <v>64.63</v>
      </c>
      <c r="E23" s="282">
        <f t="shared" si="1"/>
        <v>60364.42</v>
      </c>
      <c r="F23" s="177">
        <v>1</v>
      </c>
      <c r="G23" s="305" t="s">
        <v>85</v>
      </c>
      <c r="H23" s="306"/>
      <c r="I23" s="254"/>
      <c r="J23" s="129"/>
      <c r="K23" s="128"/>
      <c r="L23" s="166"/>
      <c r="M23" s="122"/>
      <c r="N23" s="165"/>
      <c r="O23" s="129"/>
      <c r="P23" s="128"/>
      <c r="Q23" s="166"/>
      <c r="R23" s="122"/>
      <c r="S23" s="165"/>
      <c r="T23" s="129"/>
      <c r="U23" s="128"/>
      <c r="V23" s="166"/>
      <c r="W23" s="122"/>
      <c r="X23" s="165"/>
      <c r="Y23" s="129"/>
      <c r="Z23" s="128"/>
      <c r="AA23" s="166"/>
      <c r="AB23" s="122" t="s">
        <v>42</v>
      </c>
      <c r="AC23" s="165"/>
    </row>
    <row r="24" spans="1:29" x14ac:dyDescent="0.2">
      <c r="A24" s="279" t="s">
        <v>135</v>
      </c>
      <c r="B24" s="280">
        <v>3180</v>
      </c>
      <c r="C24" s="281"/>
      <c r="D24" s="280">
        <v>69.83</v>
      </c>
      <c r="E24" s="282">
        <f t="shared" si="1"/>
        <v>222059.4</v>
      </c>
      <c r="F24" s="177">
        <v>2</v>
      </c>
      <c r="G24" s="292" t="s">
        <v>155</v>
      </c>
      <c r="H24" s="293"/>
      <c r="I24" s="271">
        <f>673+196</f>
        <v>869</v>
      </c>
      <c r="J24" s="271">
        <f>673+196</f>
        <v>869</v>
      </c>
      <c r="K24" s="128"/>
      <c r="L24" s="166">
        <v>60</v>
      </c>
      <c r="M24" s="122">
        <f>L24*J24</f>
        <v>52140</v>
      </c>
      <c r="N24" s="165"/>
      <c r="O24" s="271">
        <f>673+196</f>
        <v>869</v>
      </c>
      <c r="P24" s="128"/>
      <c r="Q24" s="166">
        <v>58.75</v>
      </c>
      <c r="R24" s="122">
        <f>Q24*O24</f>
        <v>51053.75</v>
      </c>
      <c r="S24" s="165"/>
      <c r="T24" s="271">
        <f>673+196</f>
        <v>869</v>
      </c>
      <c r="U24" s="128"/>
      <c r="V24" s="166">
        <v>59.75</v>
      </c>
      <c r="W24" s="122">
        <f>V24*T24</f>
        <v>51922.75</v>
      </c>
      <c r="X24" s="165" t="s">
        <v>84</v>
      </c>
      <c r="Y24" s="271">
        <f>673+196</f>
        <v>869</v>
      </c>
      <c r="Z24" s="128" t="s">
        <v>35</v>
      </c>
      <c r="AA24" s="166">
        <v>57</v>
      </c>
      <c r="AB24" s="122">
        <f>AA24*Y24</f>
        <v>49533</v>
      </c>
      <c r="AC24" s="165"/>
    </row>
    <row r="25" spans="1:29" x14ac:dyDescent="0.2">
      <c r="A25" s="279" t="s">
        <v>136</v>
      </c>
      <c r="B25" s="280">
        <v>4358</v>
      </c>
      <c r="C25" s="281"/>
      <c r="D25" s="280">
        <v>0.65</v>
      </c>
      <c r="E25" s="282">
        <f t="shared" si="1"/>
        <v>2832.7000000000003</v>
      </c>
      <c r="F25" s="177">
        <v>3</v>
      </c>
      <c r="G25" s="292" t="s">
        <v>114</v>
      </c>
      <c r="H25" s="293"/>
      <c r="I25" s="271" t="s">
        <v>115</v>
      </c>
      <c r="J25" s="271" t="s">
        <v>115</v>
      </c>
      <c r="K25" s="128"/>
      <c r="L25" s="166">
        <v>60</v>
      </c>
      <c r="M25" s="122">
        <f>L25*J25</f>
        <v>1032</v>
      </c>
      <c r="N25" s="165"/>
      <c r="O25" s="271" t="s">
        <v>115</v>
      </c>
      <c r="P25" s="128"/>
      <c r="Q25" s="272">
        <v>60</v>
      </c>
      <c r="R25" s="122">
        <f t="shared" ref="R25:R32" si="2">Q25*O25</f>
        <v>1032</v>
      </c>
      <c r="S25" s="165"/>
      <c r="T25" s="271" t="s">
        <v>115</v>
      </c>
      <c r="U25" s="128"/>
      <c r="V25" s="166">
        <v>59.75</v>
      </c>
      <c r="W25" s="122">
        <f>V25*T25</f>
        <v>1027.7</v>
      </c>
      <c r="X25" s="165"/>
      <c r="Y25" s="277">
        <v>17.5</v>
      </c>
      <c r="Z25" s="128" t="s">
        <v>35</v>
      </c>
      <c r="AA25" s="166">
        <v>57</v>
      </c>
      <c r="AB25" s="122">
        <f>AA25*Y25</f>
        <v>997.5</v>
      </c>
      <c r="AC25" s="165"/>
    </row>
    <row r="26" spans="1:29" x14ac:dyDescent="0.2">
      <c r="A26" s="279" t="s">
        <v>137</v>
      </c>
      <c r="B26" s="280">
        <v>3640</v>
      </c>
      <c r="C26" s="281"/>
      <c r="D26" s="280">
        <v>1.1000000000000001</v>
      </c>
      <c r="E26" s="282">
        <f t="shared" si="1"/>
        <v>4004.0000000000005</v>
      </c>
      <c r="F26" s="177">
        <v>4</v>
      </c>
      <c r="G26" s="292" t="s">
        <v>156</v>
      </c>
      <c r="H26" s="293"/>
      <c r="I26" s="271" t="s">
        <v>116</v>
      </c>
      <c r="J26" s="271" t="s">
        <v>116</v>
      </c>
      <c r="K26" s="128"/>
      <c r="L26" s="166">
        <v>54.5</v>
      </c>
      <c r="M26" s="122">
        <f>L26*J26</f>
        <v>13080</v>
      </c>
      <c r="N26" s="168" t="s">
        <v>70</v>
      </c>
      <c r="O26" s="271" t="s">
        <v>116</v>
      </c>
      <c r="P26" s="128"/>
      <c r="Q26" s="272">
        <v>60</v>
      </c>
      <c r="R26" s="122">
        <f t="shared" si="2"/>
        <v>14400</v>
      </c>
      <c r="S26" s="165"/>
      <c r="T26" s="271" t="s">
        <v>116</v>
      </c>
      <c r="U26" s="128"/>
      <c r="V26" s="166">
        <v>54.5</v>
      </c>
      <c r="W26" s="122">
        <f>V26*T26</f>
        <v>13080</v>
      </c>
      <c r="X26" s="165"/>
      <c r="Y26" s="271" t="s">
        <v>116</v>
      </c>
      <c r="Z26" s="128" t="s">
        <v>35</v>
      </c>
      <c r="AA26" s="166">
        <v>67.5</v>
      </c>
      <c r="AB26" s="122">
        <f>AA26*Y26</f>
        <v>16200</v>
      </c>
      <c r="AC26" s="165"/>
    </row>
    <row r="27" spans="1:29" x14ac:dyDescent="0.2">
      <c r="A27" s="279" t="s">
        <v>138</v>
      </c>
      <c r="B27" s="280">
        <v>874</v>
      </c>
      <c r="C27" s="281"/>
      <c r="D27" s="280">
        <v>1.3</v>
      </c>
      <c r="E27" s="282">
        <f t="shared" si="1"/>
        <v>1136.2</v>
      </c>
      <c r="F27" s="177">
        <v>5</v>
      </c>
      <c r="G27" s="292" t="s">
        <v>157</v>
      </c>
      <c r="H27" s="293"/>
      <c r="I27" s="271" t="s">
        <v>117</v>
      </c>
      <c r="J27" s="271" t="s">
        <v>117</v>
      </c>
      <c r="K27" s="128"/>
      <c r="L27" s="272">
        <v>60</v>
      </c>
      <c r="M27" s="122">
        <f t="shared" ref="M27:M30" si="3">L27*J27</f>
        <v>3330</v>
      </c>
      <c r="N27" s="168"/>
      <c r="O27" s="271" t="s">
        <v>117</v>
      </c>
      <c r="P27" s="128"/>
      <c r="Q27" s="272">
        <v>60</v>
      </c>
      <c r="R27" s="122">
        <f t="shared" si="2"/>
        <v>3330</v>
      </c>
      <c r="S27" s="165"/>
      <c r="T27" s="271" t="s">
        <v>117</v>
      </c>
      <c r="U27" s="128"/>
      <c r="V27" s="272">
        <v>60</v>
      </c>
      <c r="W27" s="122">
        <f t="shared" ref="W27:W32" si="4">V27*T27</f>
        <v>3330</v>
      </c>
      <c r="X27" s="165"/>
      <c r="Y27" s="271">
        <v>55</v>
      </c>
      <c r="Z27" s="128" t="s">
        <v>35</v>
      </c>
      <c r="AA27" s="166">
        <v>50</v>
      </c>
      <c r="AB27" s="122">
        <f>Y27*AA27</f>
        <v>2750</v>
      </c>
      <c r="AC27" s="165"/>
    </row>
    <row r="28" spans="1:29" x14ac:dyDescent="0.2">
      <c r="A28" s="283" t="s">
        <v>128</v>
      </c>
      <c r="B28" s="284">
        <v>4358</v>
      </c>
      <c r="C28" s="285" t="s">
        <v>35</v>
      </c>
      <c r="D28" s="284">
        <v>0.3</v>
      </c>
      <c r="E28" s="282">
        <f t="shared" si="1"/>
        <v>1307.3999999999999</v>
      </c>
      <c r="F28" s="177">
        <v>6</v>
      </c>
      <c r="G28" s="292" t="s">
        <v>154</v>
      </c>
      <c r="H28" s="293"/>
      <c r="I28" s="271">
        <f>466+1956</f>
        <v>2422</v>
      </c>
      <c r="J28" s="271">
        <f>466+1956</f>
        <v>2422</v>
      </c>
      <c r="K28" s="128"/>
      <c r="L28" s="166">
        <v>69</v>
      </c>
      <c r="M28" s="122">
        <f t="shared" si="3"/>
        <v>167118</v>
      </c>
      <c r="N28" s="168" t="s">
        <v>68</v>
      </c>
      <c r="O28" s="271">
        <f>466+1956</f>
        <v>2422</v>
      </c>
      <c r="P28" s="128"/>
      <c r="Q28" s="166">
        <v>61.75</v>
      </c>
      <c r="R28" s="122">
        <f t="shared" si="2"/>
        <v>149558.5</v>
      </c>
      <c r="S28" s="165"/>
      <c r="T28" s="271">
        <f>466+1956</f>
        <v>2422</v>
      </c>
      <c r="U28" s="128"/>
      <c r="V28" s="166">
        <v>61.5</v>
      </c>
      <c r="W28" s="122">
        <f t="shared" si="4"/>
        <v>148953</v>
      </c>
      <c r="X28" s="165"/>
      <c r="Y28" s="271">
        <v>465</v>
      </c>
      <c r="Z28" s="128" t="s">
        <v>35</v>
      </c>
      <c r="AA28" s="166">
        <v>66</v>
      </c>
      <c r="AB28" s="122">
        <f>AA28*Y28</f>
        <v>30690</v>
      </c>
      <c r="AC28" s="165"/>
    </row>
    <row r="29" spans="1:29" x14ac:dyDescent="0.2">
      <c r="A29" s="283" t="s">
        <v>139</v>
      </c>
      <c r="B29" s="284">
        <v>4423</v>
      </c>
      <c r="C29" s="285" t="s">
        <v>35</v>
      </c>
      <c r="D29" s="284">
        <v>1</v>
      </c>
      <c r="E29" s="282">
        <f t="shared" si="1"/>
        <v>4423</v>
      </c>
      <c r="F29" s="177">
        <v>7</v>
      </c>
      <c r="G29" s="292" t="s">
        <v>118</v>
      </c>
      <c r="H29" s="293"/>
      <c r="I29" s="271">
        <f>441+293</f>
        <v>734</v>
      </c>
      <c r="J29" s="271">
        <f>441+293</f>
        <v>734</v>
      </c>
      <c r="K29" s="128"/>
      <c r="L29" s="166">
        <v>69</v>
      </c>
      <c r="M29" s="122">
        <f t="shared" si="3"/>
        <v>50646</v>
      </c>
      <c r="N29" s="165"/>
      <c r="O29" s="271">
        <f>441+293</f>
        <v>734</v>
      </c>
      <c r="P29" s="128"/>
      <c r="Q29" s="166">
        <v>61.75</v>
      </c>
      <c r="R29" s="122">
        <f t="shared" si="2"/>
        <v>45324.5</v>
      </c>
      <c r="S29" s="165"/>
      <c r="T29" s="271">
        <f>441+293</f>
        <v>734</v>
      </c>
      <c r="U29" s="128"/>
      <c r="V29" s="166">
        <v>61.5</v>
      </c>
      <c r="W29" s="122">
        <f t="shared" si="4"/>
        <v>45141</v>
      </c>
      <c r="X29" s="165"/>
      <c r="Y29" s="271">
        <f>2400+293</f>
        <v>2693</v>
      </c>
      <c r="Z29" s="128" t="s">
        <v>35</v>
      </c>
      <c r="AA29" s="166">
        <v>71</v>
      </c>
      <c r="AB29" s="122">
        <f t="shared" ref="AB29:AB32" si="5">AA29*Y29</f>
        <v>191203</v>
      </c>
      <c r="AC29" s="165"/>
    </row>
    <row r="30" spans="1:29" x14ac:dyDescent="0.2">
      <c r="A30" s="174" t="s">
        <v>140</v>
      </c>
      <c r="B30" s="51">
        <v>915</v>
      </c>
      <c r="C30" s="52" t="s">
        <v>46</v>
      </c>
      <c r="D30" s="51">
        <v>25</v>
      </c>
      <c r="E30" s="50"/>
      <c r="F30" s="177">
        <v>8</v>
      </c>
      <c r="G30" s="292" t="s">
        <v>122</v>
      </c>
      <c r="H30" s="293"/>
      <c r="I30" s="271">
        <v>272</v>
      </c>
      <c r="J30" s="271">
        <v>272</v>
      </c>
      <c r="K30" s="128"/>
      <c r="L30" s="166">
        <v>69</v>
      </c>
      <c r="M30" s="122">
        <f t="shared" si="3"/>
        <v>18768</v>
      </c>
      <c r="N30" s="165"/>
      <c r="O30" s="271">
        <v>272</v>
      </c>
      <c r="P30" s="128"/>
      <c r="Q30" s="166">
        <v>61.75</v>
      </c>
      <c r="R30" s="122">
        <f t="shared" si="2"/>
        <v>16796</v>
      </c>
      <c r="S30" s="165"/>
      <c r="T30" s="271">
        <v>272</v>
      </c>
      <c r="U30" s="128"/>
      <c r="V30" s="166">
        <v>61.5</v>
      </c>
      <c r="W30" s="122">
        <f t="shared" si="4"/>
        <v>16728</v>
      </c>
      <c r="X30" s="165"/>
      <c r="Y30" s="271">
        <v>272</v>
      </c>
      <c r="Z30" s="128" t="s">
        <v>35</v>
      </c>
      <c r="AA30" s="166">
        <v>71</v>
      </c>
      <c r="AB30" s="122">
        <f t="shared" si="5"/>
        <v>19312</v>
      </c>
      <c r="AC30" s="165"/>
    </row>
    <row r="31" spans="1:29" x14ac:dyDescent="0.2">
      <c r="A31" s="174"/>
      <c r="B31" s="51"/>
      <c r="C31" s="52"/>
      <c r="D31" s="51"/>
      <c r="E31" s="50"/>
      <c r="F31" s="177">
        <v>9</v>
      </c>
      <c r="G31" s="292" t="s">
        <v>123</v>
      </c>
      <c r="H31" s="293"/>
      <c r="I31" s="271" t="s">
        <v>120</v>
      </c>
      <c r="J31" s="271" t="s">
        <v>120</v>
      </c>
      <c r="K31" s="128"/>
      <c r="L31" s="166">
        <v>69</v>
      </c>
      <c r="M31" s="122">
        <f>L31*J31</f>
        <v>32085</v>
      </c>
      <c r="N31" s="165"/>
      <c r="O31" s="271" t="s">
        <v>120</v>
      </c>
      <c r="P31" s="128"/>
      <c r="Q31" s="166">
        <v>61.75</v>
      </c>
      <c r="R31" s="122">
        <f t="shared" si="2"/>
        <v>28713.75</v>
      </c>
      <c r="S31" s="165"/>
      <c r="T31" s="271" t="s">
        <v>120</v>
      </c>
      <c r="U31" s="128"/>
      <c r="V31" s="166">
        <v>61.5</v>
      </c>
      <c r="W31" s="122">
        <f t="shared" si="4"/>
        <v>28597.5</v>
      </c>
      <c r="X31" s="165"/>
      <c r="Y31" s="271" t="s">
        <v>120</v>
      </c>
      <c r="Z31" s="128" t="s">
        <v>35</v>
      </c>
      <c r="AA31" s="166">
        <v>66</v>
      </c>
      <c r="AB31" s="122">
        <f t="shared" si="5"/>
        <v>30690</v>
      </c>
      <c r="AC31" s="165"/>
    </row>
    <row r="32" spans="1:29" x14ac:dyDescent="0.2">
      <c r="A32" s="283" t="s">
        <v>141</v>
      </c>
      <c r="B32" s="284">
        <v>65</v>
      </c>
      <c r="C32" s="285" t="s">
        <v>35</v>
      </c>
      <c r="D32" s="284">
        <v>200</v>
      </c>
      <c r="E32" s="334">
        <f>B29*D29</f>
        <v>4423</v>
      </c>
      <c r="F32" s="177">
        <v>10</v>
      </c>
      <c r="G32" s="292" t="s">
        <v>119</v>
      </c>
      <c r="H32" s="293"/>
      <c r="I32" s="271" t="s">
        <v>121</v>
      </c>
      <c r="J32" s="271" t="s">
        <v>121</v>
      </c>
      <c r="K32" s="128"/>
      <c r="L32" s="166">
        <v>69</v>
      </c>
      <c r="M32" s="122">
        <f>L32*J32</f>
        <v>10143</v>
      </c>
      <c r="N32" s="165"/>
      <c r="O32" s="271" t="s">
        <v>121</v>
      </c>
      <c r="P32" s="128"/>
      <c r="Q32" s="166">
        <v>61.75</v>
      </c>
      <c r="R32" s="122">
        <f t="shared" si="2"/>
        <v>9077.25</v>
      </c>
      <c r="S32" s="165"/>
      <c r="T32" s="271" t="s">
        <v>121</v>
      </c>
      <c r="U32" s="128"/>
      <c r="V32" s="166">
        <v>61.5</v>
      </c>
      <c r="W32" s="122">
        <f t="shared" si="4"/>
        <v>9040.5</v>
      </c>
      <c r="X32" s="165"/>
      <c r="Y32" s="271" t="s">
        <v>121</v>
      </c>
      <c r="Z32" s="128" t="s">
        <v>35</v>
      </c>
      <c r="AA32" s="166">
        <v>65</v>
      </c>
      <c r="AB32" s="122">
        <f t="shared" si="5"/>
        <v>9555</v>
      </c>
      <c r="AC32" s="165"/>
    </row>
    <row r="33" spans="1:29" x14ac:dyDescent="0.2">
      <c r="A33" s="174"/>
      <c r="B33" s="51"/>
      <c r="C33" s="52"/>
      <c r="D33" s="51"/>
      <c r="E33" s="50"/>
      <c r="F33" s="177">
        <v>11</v>
      </c>
      <c r="G33" s="164" t="s">
        <v>42</v>
      </c>
      <c r="H33" s="163"/>
      <c r="I33" s="253"/>
      <c r="J33" s="129"/>
      <c r="K33" s="128"/>
      <c r="L33" s="166"/>
      <c r="M33" s="122"/>
      <c r="N33" s="165"/>
      <c r="O33" s="129"/>
      <c r="P33" s="128"/>
      <c r="Q33" s="166"/>
      <c r="R33" s="122"/>
      <c r="S33" s="165"/>
      <c r="T33" s="129"/>
      <c r="U33" s="128"/>
      <c r="V33" s="166"/>
      <c r="W33" s="122"/>
      <c r="X33" s="165"/>
      <c r="Y33" s="129"/>
      <c r="Z33" s="128"/>
      <c r="AA33" s="166"/>
      <c r="AB33" s="122" t="s">
        <v>42</v>
      </c>
      <c r="AC33" s="165"/>
    </row>
    <row r="34" spans="1:29" x14ac:dyDescent="0.2">
      <c r="A34" s="174"/>
      <c r="B34" s="51"/>
      <c r="C34" s="52"/>
      <c r="D34" s="51"/>
      <c r="E34" s="50"/>
      <c r="F34" s="177">
        <v>12</v>
      </c>
      <c r="G34" s="292" t="s">
        <v>124</v>
      </c>
      <c r="H34" s="293"/>
      <c r="I34" s="253"/>
      <c r="J34" s="129"/>
      <c r="K34" s="128"/>
      <c r="L34" s="166"/>
      <c r="M34" s="122"/>
      <c r="N34" s="165"/>
      <c r="O34" s="129"/>
      <c r="P34" s="128"/>
      <c r="Q34" s="166"/>
      <c r="R34" s="122"/>
      <c r="S34" s="165"/>
      <c r="T34" s="129"/>
      <c r="U34" s="128"/>
      <c r="V34" s="166"/>
      <c r="W34" s="122"/>
      <c r="X34" s="165"/>
      <c r="Y34" s="129"/>
      <c r="Z34" s="128"/>
      <c r="AA34" s="166"/>
      <c r="AB34" s="122" t="s">
        <v>6</v>
      </c>
      <c r="AC34" s="165"/>
    </row>
    <row r="35" spans="1:29" x14ac:dyDescent="0.2">
      <c r="A35" s="174"/>
      <c r="B35" s="51"/>
      <c r="C35" s="52"/>
      <c r="D35" s="51"/>
      <c r="E35" s="50"/>
      <c r="F35" s="177">
        <v>13</v>
      </c>
      <c r="G35" s="303" t="s">
        <v>83</v>
      </c>
      <c r="H35" s="304"/>
      <c r="I35" s="255"/>
      <c r="J35" s="129"/>
      <c r="K35" s="128"/>
      <c r="L35" s="166"/>
      <c r="M35" s="122"/>
      <c r="N35" s="165"/>
      <c r="O35" s="129"/>
      <c r="P35" s="128"/>
      <c r="Q35" s="166"/>
      <c r="R35" s="122"/>
      <c r="S35" s="165"/>
      <c r="T35" s="129"/>
      <c r="U35" s="128"/>
      <c r="V35" s="166"/>
      <c r="W35" s="122"/>
      <c r="X35" s="165"/>
      <c r="Y35" s="129"/>
      <c r="Z35" s="128"/>
      <c r="AA35" s="166"/>
      <c r="AB35" s="122" t="s">
        <v>6</v>
      </c>
      <c r="AC35" s="165"/>
    </row>
    <row r="36" spans="1:29" x14ac:dyDescent="0.2">
      <c r="A36" s="174"/>
      <c r="B36" s="51"/>
      <c r="C36" s="52"/>
      <c r="D36" s="51"/>
      <c r="E36" s="50"/>
      <c r="F36" s="177">
        <v>14</v>
      </c>
      <c r="G36" s="292" t="s">
        <v>82</v>
      </c>
      <c r="H36" s="293"/>
      <c r="I36" s="253"/>
      <c r="J36" s="129"/>
      <c r="K36" s="128"/>
      <c r="L36" s="166"/>
      <c r="M36" s="122"/>
      <c r="N36" s="165"/>
      <c r="O36" s="129"/>
      <c r="P36" s="128"/>
      <c r="Q36" s="166"/>
      <c r="R36" s="122"/>
      <c r="S36" s="165"/>
      <c r="T36" s="129"/>
      <c r="U36" s="128"/>
      <c r="V36" s="166"/>
      <c r="W36" s="122"/>
      <c r="X36" s="165"/>
      <c r="Y36" s="129"/>
      <c r="Z36" s="128"/>
      <c r="AA36" s="166"/>
      <c r="AB36" s="122" t="s">
        <v>6</v>
      </c>
      <c r="AC36" s="165"/>
    </row>
    <row r="37" spans="1:29" x14ac:dyDescent="0.2">
      <c r="A37" s="174"/>
      <c r="B37" s="51"/>
      <c r="C37" s="52"/>
      <c r="D37" s="51"/>
      <c r="E37" s="50"/>
      <c r="F37" s="177">
        <v>15</v>
      </c>
      <c r="G37" s="292" t="s">
        <v>81</v>
      </c>
      <c r="H37" s="293"/>
      <c r="I37" s="253"/>
      <c r="J37" s="129"/>
      <c r="K37" s="128"/>
      <c r="L37" s="166"/>
      <c r="M37" s="122"/>
      <c r="N37" s="165"/>
      <c r="O37" s="129"/>
      <c r="P37" s="128"/>
      <c r="Q37" s="166"/>
      <c r="R37" s="122"/>
      <c r="S37" s="165"/>
      <c r="T37" s="129"/>
      <c r="U37" s="128"/>
      <c r="V37" s="166"/>
      <c r="W37" s="122"/>
      <c r="X37" s="165"/>
      <c r="Y37" s="129"/>
      <c r="Z37" s="128"/>
      <c r="AA37" s="166"/>
      <c r="AB37" s="122" t="s">
        <v>6</v>
      </c>
      <c r="AC37" s="165"/>
    </row>
    <row r="38" spans="1:29" x14ac:dyDescent="0.2">
      <c r="A38" s="174"/>
      <c r="B38" s="51"/>
      <c r="C38" s="52"/>
      <c r="D38" s="51"/>
      <c r="E38" s="50"/>
      <c r="F38" s="177">
        <v>16</v>
      </c>
      <c r="G38" s="292" t="s">
        <v>80</v>
      </c>
      <c r="H38" s="293"/>
      <c r="I38" s="253"/>
      <c r="J38" s="129"/>
      <c r="K38" s="128"/>
      <c r="L38" s="166"/>
      <c r="M38" s="162" t="s">
        <v>4</v>
      </c>
      <c r="N38" s="165"/>
      <c r="O38" s="129"/>
      <c r="P38" s="128"/>
      <c r="Q38" s="166"/>
      <c r="R38" s="122" t="s">
        <v>6</v>
      </c>
      <c r="S38" s="165"/>
      <c r="T38" s="129"/>
      <c r="U38" s="128"/>
      <c r="V38" s="166"/>
      <c r="W38" s="122"/>
      <c r="X38" s="165"/>
      <c r="Y38" s="129"/>
      <c r="Z38" s="128"/>
      <c r="AA38" s="166"/>
      <c r="AB38" s="122" t="s">
        <v>6</v>
      </c>
      <c r="AC38" s="165"/>
    </row>
    <row r="39" spans="1:29" x14ac:dyDescent="0.2">
      <c r="A39" s="174"/>
      <c r="B39" s="51"/>
      <c r="C39" s="52"/>
      <c r="D39" s="51"/>
      <c r="E39" s="50"/>
      <c r="F39" s="177">
        <v>17</v>
      </c>
      <c r="G39" s="292" t="s">
        <v>79</v>
      </c>
      <c r="H39" s="293"/>
      <c r="I39" s="253"/>
      <c r="J39" s="129"/>
      <c r="K39" s="128"/>
      <c r="L39" s="166"/>
      <c r="M39" s="162" t="s">
        <v>4</v>
      </c>
      <c r="N39" s="165"/>
      <c r="O39" s="129"/>
      <c r="P39" s="128"/>
      <c r="Q39" s="166"/>
      <c r="R39" s="122" t="s">
        <v>6</v>
      </c>
      <c r="S39" s="165"/>
      <c r="T39" s="129"/>
      <c r="U39" s="128"/>
      <c r="V39" s="166"/>
      <c r="W39" s="122"/>
      <c r="X39" s="165"/>
      <c r="Y39" s="129"/>
      <c r="Z39" s="128"/>
      <c r="AA39" s="166"/>
      <c r="AB39" s="122" t="s">
        <v>6</v>
      </c>
      <c r="AC39" s="165"/>
    </row>
    <row r="40" spans="1:29" x14ac:dyDescent="0.2">
      <c r="A40" s="174"/>
      <c r="B40" s="51"/>
      <c r="C40" s="52"/>
      <c r="D40" s="51"/>
      <c r="E40" s="50"/>
      <c r="F40" s="177">
        <v>18</v>
      </c>
      <c r="G40" s="292" t="s">
        <v>125</v>
      </c>
      <c r="H40" s="293"/>
      <c r="I40" s="253"/>
      <c r="J40" s="129"/>
      <c r="K40" s="128"/>
      <c r="L40" s="166">
        <v>8</v>
      </c>
      <c r="M40" s="122"/>
      <c r="N40" s="165"/>
      <c r="O40" s="129"/>
      <c r="P40" s="128"/>
      <c r="Q40" s="166">
        <v>6.5</v>
      </c>
      <c r="R40" s="122" t="s">
        <v>6</v>
      </c>
      <c r="S40" s="165"/>
      <c r="T40" s="129"/>
      <c r="U40" s="128"/>
      <c r="V40" s="166"/>
      <c r="W40" s="122"/>
      <c r="X40" s="165" t="s">
        <v>126</v>
      </c>
      <c r="Y40" s="129"/>
      <c r="Z40" s="128"/>
      <c r="AA40" s="166"/>
      <c r="AB40" s="122" t="s">
        <v>6</v>
      </c>
      <c r="AC40" s="165"/>
    </row>
    <row r="41" spans="1:29" x14ac:dyDescent="0.2">
      <c r="A41" s="120"/>
      <c r="B41" s="134"/>
      <c r="C41" s="133"/>
      <c r="D41" s="134"/>
      <c r="E41" s="131"/>
      <c r="F41" s="177">
        <v>19</v>
      </c>
      <c r="G41" s="292" t="s">
        <v>78</v>
      </c>
      <c r="H41" s="293"/>
      <c r="I41" s="253"/>
      <c r="J41" s="129"/>
      <c r="K41" s="128"/>
      <c r="L41" s="142"/>
      <c r="M41" s="162" t="s">
        <v>42</v>
      </c>
      <c r="N41" s="165"/>
      <c r="O41" s="128"/>
      <c r="P41" s="128"/>
      <c r="Q41" s="142"/>
      <c r="R41" s="122"/>
      <c r="S41" s="121"/>
      <c r="T41" s="128"/>
      <c r="U41" s="128"/>
      <c r="V41" s="142"/>
      <c r="W41" s="122" t="s">
        <v>42</v>
      </c>
      <c r="X41" s="121"/>
      <c r="Y41" s="128"/>
      <c r="Z41" s="128"/>
      <c r="AA41" s="142"/>
      <c r="AB41" s="122" t="s">
        <v>6</v>
      </c>
      <c r="AC41" s="121"/>
    </row>
    <row r="42" spans="1:29" x14ac:dyDescent="0.2">
      <c r="A42" s="146"/>
      <c r="B42" s="134"/>
      <c r="C42" s="133"/>
      <c r="D42" s="134"/>
      <c r="E42" s="131"/>
      <c r="F42" s="177">
        <v>20</v>
      </c>
      <c r="G42" s="292" t="s">
        <v>42</v>
      </c>
      <c r="H42" s="293"/>
      <c r="I42" s="253"/>
      <c r="J42" s="129"/>
      <c r="K42" s="128"/>
      <c r="L42" s="142"/>
      <c r="M42" s="162"/>
      <c r="N42" s="170"/>
      <c r="O42" s="128"/>
      <c r="P42" s="128"/>
      <c r="Q42" s="142"/>
      <c r="R42" s="122"/>
      <c r="S42" s="170"/>
      <c r="T42" s="128"/>
      <c r="U42" s="128"/>
      <c r="V42" s="142"/>
      <c r="W42" s="122"/>
      <c r="X42" s="170"/>
      <c r="Y42" s="128"/>
      <c r="Z42" s="128"/>
      <c r="AA42" s="142"/>
      <c r="AB42" s="122" t="s">
        <v>42</v>
      </c>
      <c r="AC42" s="170"/>
    </row>
    <row r="43" spans="1:29" x14ac:dyDescent="0.2">
      <c r="A43" s="120"/>
      <c r="B43" s="134"/>
      <c r="C43" s="133"/>
      <c r="D43" s="134"/>
      <c r="E43" s="131"/>
      <c r="F43" s="177">
        <v>21</v>
      </c>
      <c r="G43" s="292" t="s">
        <v>77</v>
      </c>
      <c r="H43" s="293"/>
      <c r="I43" s="253"/>
      <c r="J43" s="173">
        <v>0.5</v>
      </c>
      <c r="K43" s="172" t="s">
        <v>76</v>
      </c>
      <c r="L43" s="171">
        <v>18216</v>
      </c>
      <c r="M43" s="122">
        <f>J43*L43</f>
        <v>9108</v>
      </c>
      <c r="N43" s="121" t="s">
        <v>75</v>
      </c>
      <c r="O43" s="129"/>
      <c r="P43" s="128"/>
      <c r="Q43" s="142"/>
      <c r="R43" s="122">
        <f>Q43*O43</f>
        <v>0</v>
      </c>
      <c r="S43" s="142"/>
      <c r="T43" s="129"/>
      <c r="U43" s="128"/>
      <c r="V43" s="142"/>
      <c r="W43" s="122"/>
      <c r="X43" s="121"/>
      <c r="Y43" s="129"/>
      <c r="Z43" s="128"/>
      <c r="AA43" s="142"/>
      <c r="AB43" s="122" t="s">
        <v>6</v>
      </c>
      <c r="AC43" s="121"/>
    </row>
    <row r="44" spans="1:29" x14ac:dyDescent="0.2">
      <c r="A44" s="146"/>
      <c r="B44" s="134"/>
      <c r="C44" s="133"/>
      <c r="D44" s="134"/>
      <c r="E44" s="131"/>
      <c r="F44" s="177">
        <v>22</v>
      </c>
      <c r="G44" s="292" t="s">
        <v>42</v>
      </c>
      <c r="H44" s="293"/>
      <c r="I44" s="253"/>
      <c r="J44" s="129"/>
      <c r="K44" s="128"/>
      <c r="L44" s="142"/>
      <c r="M44" s="122" t="s">
        <v>4</v>
      </c>
      <c r="N44" s="121"/>
      <c r="O44" s="129"/>
      <c r="P44" s="128"/>
      <c r="Q44" s="142"/>
      <c r="R44" s="122"/>
      <c r="S44" s="121"/>
      <c r="T44" s="129"/>
      <c r="U44" s="128"/>
      <c r="V44" s="142"/>
      <c r="W44" s="122"/>
      <c r="X44" s="121"/>
      <c r="Y44" s="129"/>
      <c r="Z44" s="128"/>
      <c r="AA44" s="142"/>
      <c r="AB44" s="122" t="s">
        <v>42</v>
      </c>
      <c r="AC44" s="121"/>
    </row>
    <row r="45" spans="1:29" s="10" customFormat="1" x14ac:dyDescent="0.2">
      <c r="A45" s="146"/>
      <c r="B45" s="134"/>
      <c r="C45" s="133"/>
      <c r="D45" s="134"/>
      <c r="E45" s="131"/>
      <c r="F45" s="115" t="s">
        <v>74</v>
      </c>
      <c r="G45" s="301" t="s">
        <v>73</v>
      </c>
      <c r="H45" s="302"/>
      <c r="I45" s="252"/>
      <c r="J45" s="114"/>
      <c r="K45" s="112"/>
      <c r="L45" s="159"/>
      <c r="M45" s="160"/>
      <c r="N45" s="169"/>
      <c r="O45" s="112"/>
      <c r="P45" s="112"/>
      <c r="Q45" s="159"/>
      <c r="R45" s="158"/>
      <c r="S45" s="169"/>
      <c r="T45" s="114"/>
      <c r="U45" s="112"/>
      <c r="V45" s="159"/>
      <c r="W45" s="158"/>
      <c r="X45" s="169"/>
      <c r="Y45" s="114"/>
      <c r="Z45" s="112"/>
      <c r="AA45" s="159"/>
      <c r="AB45" s="158"/>
      <c r="AC45" s="169"/>
    </row>
    <row r="46" spans="1:29" s="10" customFormat="1" x14ac:dyDescent="0.2">
      <c r="A46" s="120"/>
      <c r="B46" s="134"/>
      <c r="C46" s="133"/>
      <c r="D46" s="134"/>
      <c r="E46" s="131"/>
      <c r="F46" s="137">
        <v>1</v>
      </c>
      <c r="G46" s="292" t="s">
        <v>72</v>
      </c>
      <c r="H46" s="293"/>
      <c r="I46" s="253"/>
      <c r="J46" s="129"/>
      <c r="K46" s="128"/>
      <c r="L46" s="166"/>
      <c r="M46" s="122" t="s">
        <v>4</v>
      </c>
      <c r="N46" s="165"/>
      <c r="O46" s="129"/>
      <c r="P46" s="128"/>
      <c r="Q46" s="166"/>
      <c r="R46" s="122">
        <f>Q46*O46</f>
        <v>0</v>
      </c>
      <c r="S46" s="165"/>
      <c r="T46" s="129"/>
      <c r="U46" s="128"/>
      <c r="V46" s="166"/>
      <c r="W46" s="122" t="s">
        <v>4</v>
      </c>
      <c r="X46" s="121"/>
      <c r="Y46" s="129">
        <v>1</v>
      </c>
      <c r="Z46" s="128" t="s">
        <v>52</v>
      </c>
      <c r="AA46" s="166">
        <v>937</v>
      </c>
      <c r="AB46" s="122">
        <f t="shared" ref="AB46:AB62" si="6">AA46*Y46</f>
        <v>937</v>
      </c>
      <c r="AC46" s="121"/>
    </row>
    <row r="47" spans="1:29" s="10" customFormat="1" x14ac:dyDescent="0.2">
      <c r="A47" s="146"/>
      <c r="B47" s="134"/>
      <c r="C47" s="133"/>
      <c r="D47" s="134"/>
      <c r="E47" s="131"/>
      <c r="F47" s="121">
        <v>2</v>
      </c>
      <c r="G47" s="292" t="s">
        <v>71</v>
      </c>
      <c r="H47" s="293"/>
      <c r="I47" s="253"/>
      <c r="J47" s="129">
        <v>1708</v>
      </c>
      <c r="K47" s="128"/>
      <c r="L47" s="166"/>
      <c r="M47" s="122" t="s">
        <v>4</v>
      </c>
      <c r="N47" s="168" t="s">
        <v>70</v>
      </c>
      <c r="O47" s="128">
        <v>1708</v>
      </c>
      <c r="P47" s="128" t="s">
        <v>52</v>
      </c>
      <c r="Q47" s="166">
        <v>0.52</v>
      </c>
      <c r="R47" s="122"/>
      <c r="S47" s="165"/>
      <c r="T47" s="129"/>
      <c r="U47" s="128"/>
      <c r="V47" s="166"/>
      <c r="W47" s="122" t="s">
        <v>4</v>
      </c>
      <c r="X47" s="121"/>
      <c r="Y47" s="129"/>
      <c r="Z47" s="128"/>
      <c r="AA47" s="166"/>
      <c r="AB47" s="122" t="s">
        <v>6</v>
      </c>
      <c r="AC47" s="121"/>
    </row>
    <row r="48" spans="1:29" s="10" customFormat="1" ht="11.25" customHeight="1" x14ac:dyDescent="0.2">
      <c r="A48" s="146"/>
      <c r="B48" s="134"/>
      <c r="C48" s="133"/>
      <c r="D48" s="134"/>
      <c r="E48" s="131"/>
      <c r="F48" s="137">
        <v>3</v>
      </c>
      <c r="G48" s="292" t="s">
        <v>69</v>
      </c>
      <c r="H48" s="293"/>
      <c r="I48" s="253"/>
      <c r="J48" s="129"/>
      <c r="K48" s="128"/>
      <c r="L48" s="166"/>
      <c r="M48" s="122" t="s">
        <v>4</v>
      </c>
      <c r="N48" s="168" t="s">
        <v>68</v>
      </c>
      <c r="O48" s="128"/>
      <c r="P48" s="128"/>
      <c r="Q48" s="166"/>
      <c r="R48" s="122">
        <f>Q48*O48</f>
        <v>0</v>
      </c>
      <c r="S48" s="121"/>
      <c r="T48" s="129"/>
      <c r="U48" s="128"/>
      <c r="V48" s="142"/>
      <c r="W48" s="122" t="s">
        <v>4</v>
      </c>
      <c r="X48" s="121"/>
      <c r="Y48" s="129"/>
      <c r="Z48" s="128"/>
      <c r="AA48" s="166"/>
      <c r="AB48" s="122" t="s">
        <v>6</v>
      </c>
      <c r="AC48" s="121"/>
    </row>
    <row r="49" spans="1:29" s="10" customFormat="1" ht="11.25" customHeight="1" x14ac:dyDescent="0.2">
      <c r="A49" s="146"/>
      <c r="B49" s="134"/>
      <c r="C49" s="133"/>
      <c r="D49" s="134"/>
      <c r="E49" s="131"/>
      <c r="F49" s="137">
        <v>4</v>
      </c>
      <c r="G49" s="292" t="s">
        <v>67</v>
      </c>
      <c r="H49" s="293"/>
      <c r="I49" s="253"/>
      <c r="J49" s="129"/>
      <c r="K49" s="128"/>
      <c r="L49" s="166"/>
      <c r="M49" s="122" t="s">
        <v>4</v>
      </c>
      <c r="N49" s="121"/>
      <c r="O49" s="128"/>
      <c r="P49" s="128" t="s">
        <v>52</v>
      </c>
      <c r="Q49" s="166">
        <v>0.9</v>
      </c>
      <c r="R49" s="122">
        <f>Q49*O49</f>
        <v>0</v>
      </c>
      <c r="S49" s="121"/>
      <c r="T49" s="129"/>
      <c r="U49" s="128"/>
      <c r="V49" s="142"/>
      <c r="W49" s="122" t="s">
        <v>4</v>
      </c>
      <c r="X49" s="121"/>
      <c r="Y49" s="129"/>
      <c r="Z49" s="128"/>
      <c r="AA49" s="166"/>
      <c r="AB49" s="122" t="s">
        <v>6</v>
      </c>
      <c r="AC49" s="121"/>
    </row>
    <row r="50" spans="1:29" s="10" customFormat="1" x14ac:dyDescent="0.2">
      <c r="A50" s="120"/>
      <c r="B50" s="134"/>
      <c r="C50" s="133"/>
      <c r="D50" s="134"/>
      <c r="E50" s="131"/>
      <c r="F50" s="121">
        <v>5</v>
      </c>
      <c r="G50" s="292" t="s">
        <v>66</v>
      </c>
      <c r="H50" s="293"/>
      <c r="I50" s="253"/>
      <c r="J50" s="129"/>
      <c r="K50" s="128" t="s">
        <v>46</v>
      </c>
      <c r="L50" s="166">
        <v>3</v>
      </c>
      <c r="M50" s="122"/>
      <c r="N50" s="165" t="s">
        <v>65</v>
      </c>
      <c r="O50" s="129"/>
      <c r="P50" s="128" t="s">
        <v>64</v>
      </c>
      <c r="Q50" s="166">
        <v>1.2</v>
      </c>
      <c r="R50" s="122">
        <f>Q50*O50</f>
        <v>0</v>
      </c>
      <c r="S50" s="165" t="s">
        <v>63</v>
      </c>
      <c r="T50" s="129"/>
      <c r="U50" s="128"/>
      <c r="V50" s="166"/>
      <c r="W50" s="122">
        <f>V50*T50</f>
        <v>0</v>
      </c>
      <c r="X50" s="121"/>
      <c r="Y50" s="129"/>
      <c r="Z50" s="128" t="s">
        <v>46</v>
      </c>
      <c r="AA50" s="166">
        <v>1.3</v>
      </c>
      <c r="AB50" s="122" t="s">
        <v>45</v>
      </c>
      <c r="AC50" s="121" t="s">
        <v>165</v>
      </c>
    </row>
    <row r="51" spans="1:29" s="10" customFormat="1" x14ac:dyDescent="0.2">
      <c r="A51" s="120"/>
      <c r="B51" s="134"/>
      <c r="C51" s="133"/>
      <c r="D51" s="134"/>
      <c r="E51" s="131"/>
      <c r="F51" s="137">
        <v>6</v>
      </c>
      <c r="G51" s="292" t="s">
        <v>62</v>
      </c>
      <c r="H51" s="293"/>
      <c r="I51" s="253"/>
      <c r="J51" s="129"/>
      <c r="K51" s="128" t="s">
        <v>60</v>
      </c>
      <c r="L51" s="166">
        <v>4</v>
      </c>
      <c r="M51" s="122"/>
      <c r="N51" s="165"/>
      <c r="O51" s="128"/>
      <c r="P51" s="128"/>
      <c r="Q51" s="166"/>
      <c r="R51" s="122" t="s">
        <v>59</v>
      </c>
      <c r="S51" s="165"/>
      <c r="T51" s="129"/>
      <c r="U51" s="128" t="s">
        <v>52</v>
      </c>
      <c r="V51" s="166">
        <v>449.8</v>
      </c>
      <c r="W51" s="122"/>
      <c r="X51" s="121"/>
      <c r="Y51" s="129"/>
      <c r="Z51" s="128"/>
      <c r="AA51" s="166"/>
      <c r="AB51" s="122">
        <f t="shared" si="6"/>
        <v>0</v>
      </c>
      <c r="AC51" s="121" t="s">
        <v>165</v>
      </c>
    </row>
    <row r="52" spans="1:29" s="10" customFormat="1" x14ac:dyDescent="0.2">
      <c r="A52" s="120"/>
      <c r="B52" s="134"/>
      <c r="C52" s="133"/>
      <c r="D52" s="134"/>
      <c r="E52" s="131"/>
      <c r="F52" s="137">
        <v>7</v>
      </c>
      <c r="G52" s="292" t="s">
        <v>61</v>
      </c>
      <c r="H52" s="293"/>
      <c r="I52" s="253"/>
      <c r="J52" s="129"/>
      <c r="K52" s="128" t="s">
        <v>60</v>
      </c>
      <c r="L52" s="166">
        <v>4.5</v>
      </c>
      <c r="M52" s="122"/>
      <c r="N52" s="165"/>
      <c r="O52" s="128"/>
      <c r="P52" s="128"/>
      <c r="Q52" s="166"/>
      <c r="R52" s="122" t="s">
        <v>59</v>
      </c>
      <c r="S52" s="165"/>
      <c r="T52" s="129"/>
      <c r="U52" s="128"/>
      <c r="V52" s="166"/>
      <c r="W52" s="122"/>
      <c r="X52" s="121"/>
      <c r="Y52" s="129"/>
      <c r="Z52" s="128"/>
      <c r="AA52" s="166"/>
      <c r="AB52" s="122">
        <f t="shared" si="6"/>
        <v>0</v>
      </c>
      <c r="AC52" s="121" t="s">
        <v>165</v>
      </c>
    </row>
    <row r="53" spans="1:29" s="10" customFormat="1" x14ac:dyDescent="0.2">
      <c r="A53" s="120"/>
      <c r="B53" s="134"/>
      <c r="C53" s="133"/>
      <c r="D53" s="134"/>
      <c r="E53" s="131"/>
      <c r="F53" s="121">
        <v>8</v>
      </c>
      <c r="G53" s="292" t="s">
        <v>58</v>
      </c>
      <c r="H53" s="293"/>
      <c r="I53" s="253"/>
      <c r="J53" s="129"/>
      <c r="K53" s="128"/>
      <c r="L53" s="166" t="s">
        <v>57</v>
      </c>
      <c r="M53" s="122"/>
      <c r="N53" s="165"/>
      <c r="O53" s="128"/>
      <c r="P53" s="128"/>
      <c r="Q53" s="166"/>
      <c r="R53" s="122"/>
      <c r="S53" s="165"/>
      <c r="T53" s="129"/>
      <c r="U53" s="128"/>
      <c r="V53" s="166"/>
      <c r="W53" s="122"/>
      <c r="X53" s="121"/>
      <c r="Y53" s="129"/>
      <c r="Z53" s="128"/>
      <c r="AA53" s="166"/>
      <c r="AB53" s="122">
        <f t="shared" si="6"/>
        <v>0</v>
      </c>
      <c r="AC53" s="121" t="s">
        <v>165</v>
      </c>
    </row>
    <row r="54" spans="1:29" s="10" customFormat="1" x14ac:dyDescent="0.2">
      <c r="A54" s="120"/>
      <c r="B54" s="134"/>
      <c r="C54" s="133"/>
      <c r="D54" s="134"/>
      <c r="E54" s="131"/>
      <c r="F54" s="137">
        <v>9</v>
      </c>
      <c r="G54" s="292" t="s">
        <v>56</v>
      </c>
      <c r="H54" s="293"/>
      <c r="I54" s="253"/>
      <c r="J54" s="129"/>
      <c r="K54" s="128" t="s">
        <v>52</v>
      </c>
      <c r="L54" s="166">
        <v>2.5</v>
      </c>
      <c r="M54" s="122"/>
      <c r="N54" s="165"/>
      <c r="O54" s="128"/>
      <c r="P54" s="128"/>
      <c r="Q54" s="166"/>
      <c r="R54" s="122"/>
      <c r="S54" s="165"/>
      <c r="T54" s="129"/>
      <c r="U54" s="128"/>
      <c r="V54" s="166"/>
      <c r="W54" s="122"/>
      <c r="X54" s="121"/>
      <c r="Y54" s="129"/>
      <c r="Z54" s="128"/>
      <c r="AA54" s="166"/>
      <c r="AB54" s="122" t="s">
        <v>6</v>
      </c>
      <c r="AC54" s="121"/>
    </row>
    <row r="55" spans="1:29" s="10" customFormat="1" x14ac:dyDescent="0.2">
      <c r="A55" s="120"/>
      <c r="B55" s="134"/>
      <c r="C55" s="133"/>
      <c r="D55" s="134"/>
      <c r="E55" s="131"/>
      <c r="F55" s="137">
        <v>10</v>
      </c>
      <c r="G55" s="292" t="s">
        <v>55</v>
      </c>
      <c r="H55" s="293"/>
      <c r="I55" s="253"/>
      <c r="J55" s="129"/>
      <c r="K55" s="128" t="s">
        <v>52</v>
      </c>
      <c r="L55" s="166">
        <v>8</v>
      </c>
      <c r="M55" s="122" t="s">
        <v>42</v>
      </c>
      <c r="N55" s="165"/>
      <c r="O55" s="128"/>
      <c r="P55" s="128"/>
      <c r="Q55" s="166"/>
      <c r="R55" s="122" t="s">
        <v>4</v>
      </c>
      <c r="S55" s="165"/>
      <c r="T55" s="129"/>
      <c r="U55" s="128"/>
      <c r="V55" s="166"/>
      <c r="W55" s="122" t="s">
        <v>42</v>
      </c>
      <c r="X55" s="121"/>
      <c r="Y55" s="129"/>
      <c r="Z55" s="128"/>
      <c r="AA55" s="166"/>
      <c r="AB55" s="122" t="s">
        <v>6</v>
      </c>
      <c r="AC55" s="121"/>
    </row>
    <row r="56" spans="1:29" s="10" customFormat="1" ht="22.2" customHeight="1" x14ac:dyDescent="0.2">
      <c r="A56" s="120"/>
      <c r="B56" s="134"/>
      <c r="C56" s="133"/>
      <c r="D56" s="134"/>
      <c r="E56" s="131"/>
      <c r="F56" s="121">
        <v>11</v>
      </c>
      <c r="G56" s="292" t="s">
        <v>54</v>
      </c>
      <c r="H56" s="293"/>
      <c r="I56" s="253"/>
      <c r="J56" s="129"/>
      <c r="K56" s="128" t="s">
        <v>52</v>
      </c>
      <c r="L56" s="166">
        <v>8</v>
      </c>
      <c r="M56" s="122" t="s">
        <v>4</v>
      </c>
      <c r="N56" s="121"/>
      <c r="O56" s="128"/>
      <c r="P56" s="128"/>
      <c r="Q56" s="166"/>
      <c r="R56" s="122"/>
      <c r="S56" s="121"/>
      <c r="T56" s="129"/>
      <c r="U56" s="128"/>
      <c r="V56" s="142"/>
      <c r="W56" s="122" t="s">
        <v>6</v>
      </c>
      <c r="X56" s="121"/>
      <c r="Y56" s="129"/>
      <c r="Z56" s="128"/>
      <c r="AA56" s="142"/>
      <c r="AB56" s="122" t="s">
        <v>6</v>
      </c>
      <c r="AC56" s="121"/>
    </row>
    <row r="57" spans="1:29" s="10" customFormat="1" ht="12" customHeight="1" x14ac:dyDescent="0.2">
      <c r="A57" s="120"/>
      <c r="B57" s="134"/>
      <c r="C57" s="133"/>
      <c r="D57" s="134"/>
      <c r="E57" s="131"/>
      <c r="F57" s="137">
        <v>12</v>
      </c>
      <c r="G57" s="292" t="s">
        <v>53</v>
      </c>
      <c r="H57" s="293"/>
      <c r="I57" s="253"/>
      <c r="J57" s="129"/>
      <c r="K57" s="128" t="s">
        <v>52</v>
      </c>
      <c r="L57" s="166">
        <v>6</v>
      </c>
      <c r="M57" s="122" t="s">
        <v>4</v>
      </c>
      <c r="N57" s="121"/>
      <c r="O57" s="128"/>
      <c r="P57" s="128"/>
      <c r="Q57" s="166"/>
      <c r="R57" s="122"/>
      <c r="S57" s="121"/>
      <c r="T57" s="129"/>
      <c r="U57" s="128"/>
      <c r="V57" s="142"/>
      <c r="W57" s="122" t="s">
        <v>6</v>
      </c>
      <c r="X57" s="121"/>
      <c r="Y57" s="129"/>
      <c r="Z57" s="128"/>
      <c r="AA57" s="142"/>
      <c r="AB57" s="122" t="s">
        <v>6</v>
      </c>
      <c r="AC57" s="121"/>
    </row>
    <row r="58" spans="1:29" s="10" customFormat="1" ht="12" customHeight="1" x14ac:dyDescent="0.2">
      <c r="A58" s="120"/>
      <c r="B58" s="134"/>
      <c r="C58" s="133"/>
      <c r="D58" s="134"/>
      <c r="E58" s="131"/>
      <c r="F58" s="137">
        <v>13</v>
      </c>
      <c r="G58" s="292" t="s">
        <v>51</v>
      </c>
      <c r="H58" s="293"/>
      <c r="I58" s="253"/>
      <c r="J58" s="129"/>
      <c r="K58" s="128" t="s">
        <v>46</v>
      </c>
      <c r="L58" s="166">
        <v>35</v>
      </c>
      <c r="M58" s="122"/>
      <c r="N58" s="121"/>
      <c r="O58" s="128"/>
      <c r="P58" s="128"/>
      <c r="Q58" s="166"/>
      <c r="R58" s="122"/>
      <c r="S58" s="121"/>
      <c r="T58" s="129"/>
      <c r="U58" s="128"/>
      <c r="V58" s="142"/>
      <c r="W58" s="122"/>
      <c r="X58" s="121"/>
      <c r="Y58" s="129"/>
      <c r="Z58" s="128"/>
      <c r="AA58" s="142"/>
      <c r="AB58" s="122" t="s">
        <v>166</v>
      </c>
      <c r="AC58" s="121"/>
    </row>
    <row r="59" spans="1:29" s="10" customFormat="1" ht="12" customHeight="1" x14ac:dyDescent="0.2">
      <c r="A59" s="120"/>
      <c r="B59" s="134"/>
      <c r="C59" s="133"/>
      <c r="D59" s="134"/>
      <c r="E59" s="131"/>
      <c r="F59" s="121">
        <v>14</v>
      </c>
      <c r="G59" s="292" t="s">
        <v>50</v>
      </c>
      <c r="H59" s="293"/>
      <c r="I59" s="253"/>
      <c r="J59" s="129"/>
      <c r="K59" s="128" t="s">
        <v>35</v>
      </c>
      <c r="L59" s="166">
        <v>0.5</v>
      </c>
      <c r="M59" s="122"/>
      <c r="N59" s="121"/>
      <c r="O59" s="128"/>
      <c r="P59" s="128"/>
      <c r="Q59" s="166"/>
      <c r="R59" s="122" t="s">
        <v>6</v>
      </c>
      <c r="S59" s="121"/>
      <c r="T59" s="129"/>
      <c r="U59" s="128" t="s">
        <v>35</v>
      </c>
      <c r="V59" s="142">
        <v>0.23</v>
      </c>
      <c r="W59" s="122"/>
      <c r="X59" s="121"/>
      <c r="Y59" s="129"/>
      <c r="Z59" s="128"/>
      <c r="AA59" s="142"/>
      <c r="AB59" s="122" t="s">
        <v>6</v>
      </c>
      <c r="AC59" s="121"/>
    </row>
    <row r="60" spans="1:29" s="10" customFormat="1" ht="12" customHeight="1" x14ac:dyDescent="0.2">
      <c r="A60" s="120"/>
      <c r="B60" s="134"/>
      <c r="C60" s="133"/>
      <c r="D60" s="134"/>
      <c r="E60" s="131"/>
      <c r="F60" s="137">
        <v>15</v>
      </c>
      <c r="G60" s="10" t="s">
        <v>49</v>
      </c>
      <c r="J60" s="129"/>
      <c r="K60" s="128"/>
      <c r="L60" s="166"/>
      <c r="M60" s="122"/>
      <c r="N60" s="121"/>
      <c r="O60" s="128"/>
      <c r="P60" s="128" t="s">
        <v>35</v>
      </c>
      <c r="Q60" s="166">
        <v>58</v>
      </c>
      <c r="R60" s="122"/>
      <c r="S60" s="121"/>
      <c r="T60" s="129"/>
      <c r="U60" s="128"/>
      <c r="V60" s="142"/>
      <c r="W60" s="122"/>
      <c r="X60" s="121"/>
      <c r="Y60" s="129"/>
      <c r="Z60" s="128" t="s">
        <v>35</v>
      </c>
      <c r="AA60" s="142">
        <v>71</v>
      </c>
      <c r="AB60" s="122" t="s">
        <v>45</v>
      </c>
      <c r="AC60" s="121" t="s">
        <v>165</v>
      </c>
    </row>
    <row r="61" spans="1:29" s="10" customFormat="1" ht="12" customHeight="1" x14ac:dyDescent="0.2">
      <c r="A61" s="120"/>
      <c r="B61" s="134"/>
      <c r="C61" s="133"/>
      <c r="D61" s="134"/>
      <c r="E61" s="131"/>
      <c r="F61" s="137">
        <v>16</v>
      </c>
      <c r="G61" s="292" t="s">
        <v>48</v>
      </c>
      <c r="H61" s="293"/>
      <c r="I61" s="253"/>
      <c r="J61" s="129"/>
      <c r="K61" s="128"/>
      <c r="L61" s="166"/>
      <c r="M61" s="122"/>
      <c r="N61" s="121"/>
      <c r="O61" s="128"/>
      <c r="P61" s="128"/>
      <c r="Q61" s="166"/>
      <c r="R61" s="122"/>
      <c r="S61" s="121"/>
      <c r="T61" s="129"/>
      <c r="U61" s="128"/>
      <c r="V61" s="142"/>
      <c r="W61" s="122"/>
      <c r="X61" s="121"/>
      <c r="Y61" s="129">
        <v>4</v>
      </c>
      <c r="Z61" s="128" t="s">
        <v>52</v>
      </c>
      <c r="AA61" s="142">
        <v>66</v>
      </c>
      <c r="AB61" s="122">
        <f t="shared" si="6"/>
        <v>264</v>
      </c>
      <c r="AC61" s="121"/>
    </row>
    <row r="62" spans="1:29" s="10" customFormat="1" ht="12" customHeight="1" x14ac:dyDescent="0.2">
      <c r="A62" s="120"/>
      <c r="B62" s="134"/>
      <c r="C62" s="133"/>
      <c r="D62" s="134"/>
      <c r="E62" s="131"/>
      <c r="F62" s="121">
        <v>17</v>
      </c>
      <c r="G62" s="292" t="s">
        <v>142</v>
      </c>
      <c r="H62" s="293"/>
      <c r="I62" s="253"/>
      <c r="J62" s="129"/>
      <c r="K62" s="128"/>
      <c r="L62" s="166"/>
      <c r="M62" s="122"/>
      <c r="N62" s="121"/>
      <c r="O62" s="128"/>
      <c r="P62" s="128" t="s">
        <v>46</v>
      </c>
      <c r="Q62" s="166">
        <v>0.61</v>
      </c>
      <c r="R62" s="122"/>
      <c r="S62" s="121"/>
      <c r="T62" s="129"/>
      <c r="U62" s="128"/>
      <c r="V62" s="142"/>
      <c r="W62" s="122"/>
      <c r="X62" s="121"/>
      <c r="Y62" s="129"/>
      <c r="Z62" s="128" t="s">
        <v>35</v>
      </c>
      <c r="AA62" s="142">
        <v>0.7</v>
      </c>
      <c r="AB62" s="122">
        <f t="shared" si="6"/>
        <v>0</v>
      </c>
      <c r="AC62" s="121"/>
    </row>
    <row r="63" spans="1:29" s="10" customFormat="1" ht="12" customHeight="1" x14ac:dyDescent="0.2">
      <c r="A63" s="120"/>
      <c r="B63" s="134"/>
      <c r="C63" s="133"/>
      <c r="D63" s="134"/>
      <c r="E63" s="131"/>
      <c r="F63" s="137">
        <v>18</v>
      </c>
      <c r="G63" s="292" t="s">
        <v>143</v>
      </c>
      <c r="H63" s="293"/>
      <c r="I63" s="253"/>
      <c r="J63" s="129"/>
      <c r="K63" s="128"/>
      <c r="L63" s="166"/>
      <c r="M63" s="122"/>
      <c r="N63" s="121"/>
      <c r="O63" s="128"/>
      <c r="P63" s="128" t="s">
        <v>46</v>
      </c>
      <c r="Q63" s="166">
        <v>50</v>
      </c>
      <c r="R63" s="122"/>
      <c r="S63" s="121"/>
      <c r="T63" s="129"/>
      <c r="U63" s="128"/>
      <c r="V63" s="142"/>
      <c r="W63" s="122"/>
      <c r="X63" s="121"/>
      <c r="Y63" s="129"/>
      <c r="Z63" s="128"/>
      <c r="AA63" s="142"/>
      <c r="AB63" s="122" t="s">
        <v>166</v>
      </c>
      <c r="AC63" s="121"/>
    </row>
    <row r="64" spans="1:29" s="10" customFormat="1" ht="12" customHeight="1" x14ac:dyDescent="0.2">
      <c r="A64" s="120"/>
      <c r="B64" s="134"/>
      <c r="C64" s="133"/>
      <c r="D64" s="134"/>
      <c r="E64" s="131"/>
      <c r="F64" s="137">
        <v>19</v>
      </c>
      <c r="G64" s="292" t="s">
        <v>47</v>
      </c>
      <c r="H64" s="293"/>
      <c r="I64" s="253"/>
      <c r="J64" s="129"/>
      <c r="K64" s="128"/>
      <c r="L64" s="166"/>
      <c r="M64" s="122"/>
      <c r="N64" s="121"/>
      <c r="O64" s="128"/>
      <c r="P64" s="128" t="s">
        <v>46</v>
      </c>
      <c r="Q64" s="166">
        <v>74</v>
      </c>
      <c r="R64" s="122"/>
      <c r="S64" s="121"/>
      <c r="T64" s="129"/>
      <c r="U64" s="128"/>
      <c r="V64" s="142"/>
      <c r="W64" s="122"/>
      <c r="X64" s="121"/>
      <c r="Y64" s="129"/>
      <c r="Z64" s="128"/>
      <c r="AA64" s="142"/>
      <c r="AB64" s="122" t="s">
        <v>166</v>
      </c>
      <c r="AC64" s="121"/>
    </row>
    <row r="65" spans="1:29" s="10" customFormat="1" x14ac:dyDescent="0.2">
      <c r="A65" s="120"/>
      <c r="B65" s="134"/>
      <c r="C65" s="133"/>
      <c r="D65" s="134"/>
      <c r="E65" s="131"/>
      <c r="F65" s="121">
        <v>20</v>
      </c>
      <c r="G65" s="292"/>
      <c r="H65" s="293"/>
      <c r="I65" s="253"/>
      <c r="J65" s="129"/>
      <c r="K65" s="128"/>
      <c r="L65" s="166"/>
      <c r="M65" s="167" t="s">
        <v>45</v>
      </c>
      <c r="N65" s="121"/>
      <c r="O65" s="128"/>
      <c r="P65" s="128"/>
      <c r="Q65" s="166"/>
      <c r="R65" s="122"/>
      <c r="S65" s="121"/>
      <c r="T65" s="128"/>
      <c r="U65" s="128"/>
      <c r="V65" s="142"/>
      <c r="W65" s="122" t="s">
        <v>6</v>
      </c>
      <c r="X65" s="121"/>
      <c r="Y65" s="128"/>
      <c r="Z65" s="128"/>
      <c r="AA65" s="142"/>
      <c r="AB65" s="122"/>
      <c r="AC65" s="121"/>
    </row>
    <row r="66" spans="1:29" s="10" customFormat="1" x14ac:dyDescent="0.2">
      <c r="A66" s="120"/>
      <c r="B66" s="134"/>
      <c r="C66" s="133"/>
      <c r="D66" s="134"/>
      <c r="E66" s="131"/>
      <c r="F66" s="137">
        <v>21</v>
      </c>
      <c r="G66" s="313" t="s">
        <v>44</v>
      </c>
      <c r="H66" s="331"/>
      <c r="I66" s="256"/>
      <c r="J66" s="129"/>
      <c r="K66" s="128"/>
      <c r="L66" s="166"/>
      <c r="M66" s="162" t="s">
        <v>42</v>
      </c>
      <c r="N66" s="121"/>
      <c r="O66" s="128"/>
      <c r="P66" s="128"/>
      <c r="Q66" s="166"/>
      <c r="R66" s="122"/>
      <c r="S66" s="121"/>
      <c r="T66" s="128"/>
      <c r="U66" s="128"/>
      <c r="V66" s="142"/>
      <c r="W66" s="122" t="s">
        <v>42</v>
      </c>
      <c r="X66" s="121"/>
      <c r="Y66" s="128"/>
      <c r="Z66" s="128"/>
      <c r="AA66" s="142"/>
      <c r="AB66" s="122" t="s">
        <v>6</v>
      </c>
      <c r="AC66" s="121"/>
    </row>
    <row r="67" spans="1:29" s="10" customFormat="1" x14ac:dyDescent="0.2">
      <c r="A67" s="120"/>
      <c r="B67" s="134"/>
      <c r="C67" s="133"/>
      <c r="D67" s="134"/>
      <c r="E67" s="131"/>
      <c r="F67" s="137">
        <v>22</v>
      </c>
      <c r="G67" s="292" t="s">
        <v>43</v>
      </c>
      <c r="H67" s="293"/>
      <c r="I67" s="253"/>
      <c r="J67" s="129"/>
      <c r="K67" s="128"/>
      <c r="L67" s="166"/>
      <c r="M67" s="122" t="s">
        <v>42</v>
      </c>
      <c r="N67" s="165"/>
      <c r="O67" s="128"/>
      <c r="P67" s="128"/>
      <c r="Q67" s="166"/>
      <c r="R67" s="122"/>
      <c r="S67" s="165"/>
      <c r="T67" s="128"/>
      <c r="U67" s="128"/>
      <c r="V67" s="166"/>
      <c r="W67" s="122" t="s">
        <v>42</v>
      </c>
      <c r="X67" s="165"/>
      <c r="Y67" s="128"/>
      <c r="Z67" s="128"/>
      <c r="AA67" s="166"/>
      <c r="AB67" s="122" t="s">
        <v>6</v>
      </c>
      <c r="AC67" s="165"/>
    </row>
    <row r="68" spans="1:29" s="10" customFormat="1" x14ac:dyDescent="0.2">
      <c r="A68" s="120"/>
      <c r="B68" s="134"/>
      <c r="C68" s="133"/>
      <c r="D68" s="134"/>
      <c r="E68" s="131"/>
      <c r="F68" s="121">
        <v>23</v>
      </c>
      <c r="G68" s="292" t="s">
        <v>42</v>
      </c>
      <c r="H68" s="293"/>
      <c r="I68" s="253"/>
      <c r="J68" s="129"/>
      <c r="K68" s="128"/>
      <c r="L68" s="166"/>
      <c r="M68" s="122" t="s">
        <v>42</v>
      </c>
      <c r="N68" s="165"/>
      <c r="O68" s="128"/>
      <c r="P68" s="128"/>
      <c r="Q68" s="166"/>
      <c r="R68" s="122"/>
      <c r="S68" s="165"/>
      <c r="T68" s="128"/>
      <c r="U68" s="128"/>
      <c r="V68" s="166"/>
      <c r="W68" s="122" t="s">
        <v>42</v>
      </c>
      <c r="X68" s="165"/>
      <c r="Y68" s="128"/>
      <c r="Z68" s="128"/>
      <c r="AA68" s="166"/>
      <c r="AB68" s="122"/>
      <c r="AC68" s="165"/>
    </row>
    <row r="69" spans="1:29" x14ac:dyDescent="0.2">
      <c r="A69" s="146"/>
      <c r="B69" s="134"/>
      <c r="C69" s="133"/>
      <c r="D69" s="134"/>
      <c r="E69" s="131"/>
      <c r="F69" s="115" t="s">
        <v>41</v>
      </c>
      <c r="G69" s="332" t="s">
        <v>40</v>
      </c>
      <c r="H69" s="333"/>
      <c r="I69" s="257"/>
      <c r="J69" s="114"/>
      <c r="K69" s="112"/>
      <c r="L69" s="159"/>
      <c r="M69" s="160"/>
      <c r="N69" s="109"/>
      <c r="O69" s="112"/>
      <c r="P69" s="112"/>
      <c r="Q69" s="159"/>
      <c r="R69" s="158"/>
      <c r="S69" s="109"/>
      <c r="T69" s="112"/>
      <c r="U69" s="112"/>
      <c r="V69" s="159"/>
      <c r="W69" s="158"/>
      <c r="X69" s="109"/>
      <c r="Y69" s="112"/>
      <c r="Z69" s="112"/>
      <c r="AA69" s="159"/>
      <c r="AB69" s="158"/>
      <c r="AC69" s="109"/>
    </row>
    <row r="70" spans="1:29" x14ac:dyDescent="0.2">
      <c r="A70" s="146"/>
      <c r="B70" s="134"/>
      <c r="C70" s="133"/>
      <c r="D70" s="134"/>
      <c r="E70" s="131"/>
      <c r="F70" s="143">
        <v>1</v>
      </c>
      <c r="G70" s="292" t="s">
        <v>158</v>
      </c>
      <c r="H70" s="293"/>
      <c r="I70" s="253"/>
      <c r="J70" s="129"/>
      <c r="K70" s="128"/>
      <c r="L70" s="142"/>
      <c r="M70" s="126" t="s">
        <v>4</v>
      </c>
      <c r="N70" s="121"/>
      <c r="O70" s="128"/>
      <c r="P70" s="128"/>
      <c r="Q70" s="142"/>
      <c r="R70" s="126" t="s">
        <v>4</v>
      </c>
      <c r="S70" s="121"/>
      <c r="T70" s="128"/>
      <c r="U70" s="128"/>
      <c r="V70" s="142"/>
      <c r="W70" s="126" t="s">
        <v>4</v>
      </c>
      <c r="X70" s="121"/>
      <c r="Y70" s="128"/>
      <c r="Z70" s="128"/>
      <c r="AA70" s="142"/>
      <c r="AB70" s="126" t="s">
        <v>4</v>
      </c>
      <c r="AC70" s="121"/>
    </row>
    <row r="71" spans="1:29" x14ac:dyDescent="0.2">
      <c r="A71" s="146"/>
      <c r="B71" s="134"/>
      <c r="C71" s="133"/>
      <c r="D71" s="134"/>
      <c r="E71" s="131"/>
      <c r="F71" s="143">
        <v>2</v>
      </c>
      <c r="G71" s="292" t="s">
        <v>39</v>
      </c>
      <c r="H71" s="293"/>
      <c r="I71" s="253"/>
      <c r="J71" s="129"/>
      <c r="K71" s="128"/>
      <c r="L71" s="142"/>
      <c r="M71" s="126" t="s">
        <v>4</v>
      </c>
      <c r="N71" s="121"/>
      <c r="O71" s="128"/>
      <c r="P71" s="128"/>
      <c r="Q71" s="142"/>
      <c r="R71" s="126" t="s">
        <v>4</v>
      </c>
      <c r="S71" s="121"/>
      <c r="T71" s="128"/>
      <c r="U71" s="128"/>
      <c r="V71" s="142"/>
      <c r="W71" s="126" t="s">
        <v>4</v>
      </c>
      <c r="X71" s="121"/>
      <c r="Y71" s="128"/>
      <c r="Z71" s="128"/>
      <c r="AA71" s="142"/>
      <c r="AB71" s="126" t="s">
        <v>4</v>
      </c>
      <c r="AC71" s="121"/>
    </row>
    <row r="72" spans="1:29" x14ac:dyDescent="0.2">
      <c r="A72" s="146"/>
      <c r="B72" s="134"/>
      <c r="C72" s="133"/>
      <c r="D72" s="134"/>
      <c r="E72" s="131"/>
      <c r="F72" s="143">
        <v>3</v>
      </c>
      <c r="G72" s="327" t="s">
        <v>38</v>
      </c>
      <c r="H72" s="328"/>
      <c r="I72" s="258"/>
      <c r="J72" s="129"/>
      <c r="K72" s="128"/>
      <c r="L72" s="142"/>
      <c r="M72" s="126" t="s">
        <v>4</v>
      </c>
      <c r="N72" s="121"/>
      <c r="O72" s="128"/>
      <c r="P72" s="128"/>
      <c r="Q72" s="142"/>
      <c r="R72" s="126" t="s">
        <v>4</v>
      </c>
      <c r="S72" s="121"/>
      <c r="T72" s="128"/>
      <c r="U72" s="128"/>
      <c r="V72" s="142"/>
      <c r="W72" s="126" t="s">
        <v>4</v>
      </c>
      <c r="X72" s="121"/>
      <c r="Y72" s="128"/>
      <c r="Z72" s="128"/>
      <c r="AA72" s="142"/>
      <c r="AB72" s="126" t="s">
        <v>4</v>
      </c>
      <c r="AC72" s="121"/>
    </row>
    <row r="73" spans="1:29" ht="11.25" customHeight="1" x14ac:dyDescent="0.2">
      <c r="A73" s="146"/>
      <c r="B73" s="134"/>
      <c r="C73" s="133"/>
      <c r="D73" s="134"/>
      <c r="E73" s="131"/>
      <c r="F73" s="143">
        <v>4</v>
      </c>
      <c r="G73" s="303" t="s">
        <v>160</v>
      </c>
      <c r="H73" s="304"/>
      <c r="I73" s="255"/>
      <c r="J73" s="129"/>
      <c r="K73" s="128"/>
      <c r="L73" s="142"/>
      <c r="M73" s="162" t="s">
        <v>4</v>
      </c>
      <c r="N73" s="121"/>
      <c r="O73" s="128"/>
      <c r="P73" s="128"/>
      <c r="Q73" s="142"/>
      <c r="R73" s="126" t="s">
        <v>4</v>
      </c>
      <c r="S73" s="121"/>
      <c r="T73" s="128"/>
      <c r="U73" s="128"/>
      <c r="V73" s="142"/>
      <c r="W73" s="126" t="s">
        <v>4</v>
      </c>
      <c r="X73" s="121"/>
      <c r="Y73" s="128"/>
      <c r="Z73" s="128"/>
      <c r="AA73" s="142"/>
      <c r="AB73" s="126" t="s">
        <v>4</v>
      </c>
      <c r="AC73" s="121"/>
    </row>
    <row r="74" spans="1:29" ht="24" customHeight="1" x14ac:dyDescent="0.2">
      <c r="A74" s="146"/>
      <c r="B74" s="134"/>
      <c r="C74" s="133"/>
      <c r="D74" s="134"/>
      <c r="E74" s="131"/>
      <c r="F74" s="143">
        <v>5</v>
      </c>
      <c r="G74" s="329" t="s">
        <v>159</v>
      </c>
      <c r="H74" s="330"/>
      <c r="I74" s="259"/>
      <c r="J74" s="129"/>
      <c r="K74" s="128"/>
      <c r="L74" s="142"/>
      <c r="M74" s="162" t="s">
        <v>4</v>
      </c>
      <c r="N74" s="121"/>
      <c r="O74" s="128"/>
      <c r="P74" s="128"/>
      <c r="Q74" s="142"/>
      <c r="R74" s="126"/>
      <c r="S74" s="121"/>
      <c r="T74" s="128"/>
      <c r="U74" s="128"/>
      <c r="V74" s="142"/>
      <c r="W74" s="126" t="s">
        <v>4</v>
      </c>
      <c r="X74" s="121"/>
      <c r="Y74" s="128"/>
      <c r="Z74" s="128"/>
      <c r="AA74" s="142"/>
      <c r="AB74" s="126" t="s">
        <v>4</v>
      </c>
      <c r="AC74" s="121"/>
    </row>
    <row r="75" spans="1:29" ht="11.25" customHeight="1" x14ac:dyDescent="0.2">
      <c r="A75" s="146"/>
      <c r="B75" s="134"/>
      <c r="C75" s="133"/>
      <c r="D75" s="134"/>
      <c r="E75" s="131"/>
      <c r="F75" s="143"/>
      <c r="G75" s="164"/>
      <c r="H75" s="163"/>
      <c r="I75" s="253"/>
      <c r="J75" s="129"/>
      <c r="K75" s="128"/>
      <c r="L75" s="142"/>
      <c r="M75" s="162"/>
      <c r="N75" s="121"/>
      <c r="O75" s="128"/>
      <c r="P75" s="128"/>
      <c r="Q75" s="142"/>
      <c r="R75" s="126"/>
      <c r="S75" s="121"/>
      <c r="X75" s="121"/>
      <c r="AC75" s="121"/>
    </row>
    <row r="76" spans="1:29" x14ac:dyDescent="0.2">
      <c r="A76" s="146"/>
      <c r="B76" s="134"/>
      <c r="C76" s="133"/>
      <c r="D76" s="134"/>
      <c r="E76" s="131"/>
      <c r="F76" s="161" t="s">
        <v>37</v>
      </c>
      <c r="G76" s="301" t="s">
        <v>36</v>
      </c>
      <c r="H76" s="302"/>
      <c r="I76" s="252"/>
      <c r="J76" s="114"/>
      <c r="K76" s="112"/>
      <c r="L76" s="159"/>
      <c r="M76" s="160"/>
      <c r="N76" s="109"/>
      <c r="O76" s="112"/>
      <c r="P76" s="112"/>
      <c r="Q76" s="159"/>
      <c r="R76" s="158"/>
      <c r="S76" s="109"/>
      <c r="T76" s="112"/>
      <c r="U76" s="112"/>
      <c r="V76" s="159"/>
      <c r="W76" s="158"/>
      <c r="X76" s="109"/>
      <c r="Y76" s="112"/>
      <c r="Z76" s="112"/>
      <c r="AA76" s="159"/>
      <c r="AB76" s="158"/>
      <c r="AC76" s="109"/>
    </row>
    <row r="77" spans="1:29" ht="24.75" customHeight="1" x14ac:dyDescent="0.2">
      <c r="A77" s="146"/>
      <c r="B77" s="134"/>
      <c r="C77" s="133"/>
      <c r="D77" s="134"/>
      <c r="E77" s="131"/>
      <c r="F77" s="143">
        <v>1</v>
      </c>
      <c r="G77" s="313" t="str">
        <f>'[2]BASIS (blanco)'!G57:H57</f>
        <v>ALGEMENE (INKOOP)VOORWAARDEN (versie 12-18) van kracht;</v>
      </c>
      <c r="H77" s="314"/>
      <c r="I77" s="260"/>
      <c r="J77" s="129"/>
      <c r="K77" s="128"/>
      <c r="L77" s="142"/>
      <c r="M77" s="145" t="s">
        <v>4</v>
      </c>
      <c r="N77" s="121"/>
      <c r="O77" s="128"/>
      <c r="P77" s="128"/>
      <c r="Q77" s="142"/>
      <c r="R77" s="145" t="s">
        <v>4</v>
      </c>
      <c r="S77" s="121"/>
      <c r="T77" s="128"/>
      <c r="U77" s="128"/>
      <c r="V77" s="142"/>
      <c r="W77" s="145" t="s">
        <v>4</v>
      </c>
      <c r="X77" s="121"/>
      <c r="Y77" s="128"/>
      <c r="Z77" s="128"/>
      <c r="AA77" s="142"/>
      <c r="AB77" s="145" t="s">
        <v>4</v>
      </c>
      <c r="AC77" s="278" t="s">
        <v>163</v>
      </c>
    </row>
    <row r="78" spans="1:29" ht="24.75" customHeight="1" x14ac:dyDescent="0.2">
      <c r="A78" s="146"/>
      <c r="B78" s="134"/>
      <c r="C78" s="133"/>
      <c r="D78" s="134"/>
      <c r="E78" s="131"/>
      <c r="F78" s="143">
        <v>2</v>
      </c>
      <c r="G78" s="313" t="str">
        <f>'[2]BASIS (blanco)'!G58:H58</f>
        <v>Offerte wordt van de hand verwezen, alle afspraken staan in de genoemde stukken  of deze excellijst;</v>
      </c>
      <c r="H78" s="314"/>
      <c r="I78" s="260"/>
      <c r="J78" s="129"/>
      <c r="K78" s="128"/>
      <c r="L78" s="142"/>
      <c r="M78" s="145" t="s">
        <v>4</v>
      </c>
      <c r="N78" s="121"/>
      <c r="O78" s="128"/>
      <c r="P78" s="128"/>
      <c r="Q78" s="142"/>
      <c r="R78" s="145" t="s">
        <v>4</v>
      </c>
      <c r="S78" s="121"/>
      <c r="T78" s="128"/>
      <c r="U78" s="128"/>
      <c r="V78" s="142"/>
      <c r="W78" s="145" t="s">
        <v>4</v>
      </c>
      <c r="X78" s="121"/>
      <c r="Y78" s="128"/>
      <c r="Z78" s="128"/>
      <c r="AA78" s="142"/>
      <c r="AB78" s="145" t="s">
        <v>4</v>
      </c>
      <c r="AC78" s="121"/>
    </row>
    <row r="79" spans="1:29" ht="24" customHeight="1" x14ac:dyDescent="0.2">
      <c r="A79" s="146"/>
      <c r="B79" s="134"/>
      <c r="C79" s="133"/>
      <c r="D79" s="134"/>
      <c r="E79" s="131"/>
      <c r="F79" s="143">
        <v>3</v>
      </c>
      <c r="G79" s="313" t="str">
        <f>'[2]BASIS (blanco)'!G59:H59</f>
        <v>De projectdocumenten worden gedeeld met Docstream, de opdrachtnemer dient zijn documenten hier te delen conform protocol;</v>
      </c>
      <c r="H79" s="314"/>
      <c r="I79" s="260"/>
      <c r="J79" s="129"/>
      <c r="K79" s="128"/>
      <c r="L79" s="142"/>
      <c r="M79" s="145" t="s">
        <v>4</v>
      </c>
      <c r="N79" s="121"/>
      <c r="O79" s="128"/>
      <c r="P79" s="128"/>
      <c r="Q79" s="142"/>
      <c r="R79" s="145" t="s">
        <v>4</v>
      </c>
      <c r="S79" s="121"/>
      <c r="T79" s="128"/>
      <c r="U79" s="128"/>
      <c r="V79" s="142"/>
      <c r="W79" s="145" t="s">
        <v>4</v>
      </c>
      <c r="X79" s="121"/>
      <c r="Y79" s="128"/>
      <c r="Z79" s="128"/>
      <c r="AA79" s="142"/>
      <c r="AB79" s="145" t="s">
        <v>9</v>
      </c>
      <c r="AC79" s="278" t="s">
        <v>167</v>
      </c>
    </row>
    <row r="80" spans="1:29" ht="25.5" customHeight="1" x14ac:dyDescent="0.2">
      <c r="A80" s="146"/>
      <c r="B80" s="134"/>
      <c r="C80" s="133"/>
      <c r="D80" s="134"/>
      <c r="E80" s="131"/>
      <c r="F80" s="143">
        <v>4</v>
      </c>
      <c r="G80" s="313" t="str">
        <f>'[2]BASIS (blanco)'!G60:H60</f>
        <v>Er wordt gewerkt met Snagstream opdrachtnemer dient hier zich aan te confirmeren en mee te werken;</v>
      </c>
      <c r="H80" s="331"/>
      <c r="I80" s="256"/>
      <c r="J80" s="129"/>
      <c r="K80" s="128"/>
      <c r="L80" s="142"/>
      <c r="M80" s="145" t="s">
        <v>4</v>
      </c>
      <c r="N80" s="121"/>
      <c r="O80" s="128"/>
      <c r="P80" s="128"/>
      <c r="Q80" s="142"/>
      <c r="R80" s="145" t="s">
        <v>4</v>
      </c>
      <c r="S80" s="121"/>
      <c r="T80" s="128"/>
      <c r="U80" s="128"/>
      <c r="V80" s="142"/>
      <c r="W80" s="145" t="s">
        <v>4</v>
      </c>
      <c r="X80" s="121"/>
      <c r="Y80" s="128"/>
      <c r="Z80" s="128"/>
      <c r="AA80" s="142"/>
      <c r="AB80" s="145" t="s">
        <v>166</v>
      </c>
      <c r="AC80" s="121"/>
    </row>
    <row r="81" spans="1:29" ht="11.25" customHeight="1" x14ac:dyDescent="0.2">
      <c r="A81" s="146"/>
      <c r="B81" s="134"/>
      <c r="C81" s="133"/>
      <c r="D81" s="134"/>
      <c r="E81" s="131"/>
      <c r="F81" s="143">
        <v>5</v>
      </c>
      <c r="G81" s="313" t="str">
        <f>'[2]BASIS (blanco)'!G61:H61</f>
        <v>Leveren met zelflosser;</v>
      </c>
      <c r="H81" s="314"/>
      <c r="I81" s="260"/>
      <c r="J81" s="129"/>
      <c r="K81" s="128"/>
      <c r="L81" s="142"/>
      <c r="M81" s="145" t="s">
        <v>4</v>
      </c>
      <c r="N81" s="121"/>
      <c r="O81" s="128"/>
      <c r="P81" s="128"/>
      <c r="Q81" s="142"/>
      <c r="R81" s="145" t="s">
        <v>4</v>
      </c>
      <c r="S81" s="121"/>
      <c r="T81" s="128"/>
      <c r="U81" s="128"/>
      <c r="V81" s="142"/>
      <c r="W81" s="145" t="s">
        <v>4</v>
      </c>
      <c r="X81" s="121"/>
      <c r="Y81" s="128"/>
      <c r="Z81" s="128"/>
      <c r="AA81" s="142"/>
      <c r="AB81" s="145" t="s">
        <v>4</v>
      </c>
      <c r="AC81" s="121"/>
    </row>
    <row r="82" spans="1:29" ht="11.25" customHeight="1" x14ac:dyDescent="0.2">
      <c r="A82" s="146"/>
      <c r="B82" s="134"/>
      <c r="C82" s="133"/>
      <c r="D82" s="134"/>
      <c r="E82" s="131"/>
      <c r="F82" s="143">
        <v>6</v>
      </c>
      <c r="G82" s="313" t="str">
        <f>'[2]BASIS (blanco)'!G65:H65</f>
        <v>Tekeningen worden enkel digitaal verstrekt (wijzigingen ook);</v>
      </c>
      <c r="H82" s="314"/>
      <c r="I82" s="260"/>
      <c r="J82" s="129"/>
      <c r="K82" s="128"/>
      <c r="L82" s="142"/>
      <c r="M82" s="145" t="s">
        <v>4</v>
      </c>
      <c r="N82" s="157"/>
      <c r="O82" s="128"/>
      <c r="P82" s="128"/>
      <c r="Q82" s="142"/>
      <c r="R82" s="145" t="s">
        <v>4</v>
      </c>
      <c r="S82" s="157"/>
      <c r="T82" s="128"/>
      <c r="U82" s="128"/>
      <c r="V82" s="142"/>
      <c r="W82" s="145" t="s">
        <v>4</v>
      </c>
      <c r="X82" s="157"/>
      <c r="Y82" s="128"/>
      <c r="Z82" s="128"/>
      <c r="AA82" s="142"/>
      <c r="AB82" s="145" t="s">
        <v>4</v>
      </c>
      <c r="AC82" s="157"/>
    </row>
    <row r="83" spans="1:29" ht="21.75" customHeight="1" x14ac:dyDescent="0.2">
      <c r="A83" s="146"/>
      <c r="B83" s="134"/>
      <c r="C83" s="133"/>
      <c r="D83" s="134"/>
      <c r="E83" s="131"/>
      <c r="F83" s="143">
        <v>7</v>
      </c>
      <c r="G83" s="313" t="str">
        <f>'[2]BASIS (blanco)'!G66:H66</f>
        <v>Het maken van alle benodigde berekeningen en tekeningen ter goedkeuring en definitief. Tekenwerk in 3D, model in native format en IFC aanleveren;</v>
      </c>
      <c r="H83" s="314"/>
      <c r="I83" s="260"/>
      <c r="J83" s="129"/>
      <c r="K83" s="128"/>
      <c r="L83" s="142"/>
      <c r="M83" s="145" t="s">
        <v>4</v>
      </c>
      <c r="N83" s="156"/>
      <c r="O83" s="128">
        <v>2434.46</v>
      </c>
      <c r="P83" s="128" t="s">
        <v>35</v>
      </c>
      <c r="Q83" s="142">
        <v>0.3</v>
      </c>
      <c r="R83" s="122">
        <f>Q83*O83</f>
        <v>730.33799999999997</v>
      </c>
      <c r="S83" s="156" t="s">
        <v>34</v>
      </c>
      <c r="T83" s="128"/>
      <c r="U83" s="128"/>
      <c r="V83" s="142"/>
      <c r="W83" s="145" t="s">
        <v>4</v>
      </c>
      <c r="X83" s="156"/>
      <c r="Y83" s="128"/>
      <c r="Z83" s="128"/>
      <c r="AA83" s="142"/>
      <c r="AB83" s="122" t="s">
        <v>4</v>
      </c>
      <c r="AC83" s="156"/>
    </row>
    <row r="84" spans="1:29" ht="22.5" customHeight="1" x14ac:dyDescent="0.2">
      <c r="A84" s="155"/>
      <c r="B84" s="153"/>
      <c r="C84" s="154"/>
      <c r="D84" s="153"/>
      <c r="E84" s="131"/>
      <c r="F84" s="143">
        <v>8</v>
      </c>
      <c r="G84" s="313" t="str">
        <f>'[2]BASIS (blanco)'!G67:H67</f>
        <v>Het maken van alle benodigde berekeningen en tekeningen ter goedkeuring en definitief. Tekenwerk in 2D per blad in PDF en DWG;</v>
      </c>
      <c r="H84" s="314"/>
      <c r="I84" s="260"/>
      <c r="J84" s="152"/>
      <c r="K84" s="151"/>
      <c r="L84" s="127"/>
      <c r="M84" s="145" t="s">
        <v>4</v>
      </c>
      <c r="N84" s="150"/>
      <c r="O84" s="151"/>
      <c r="P84" s="151"/>
      <c r="Q84" s="127"/>
      <c r="R84" s="145" t="s">
        <v>4</v>
      </c>
      <c r="S84" s="150"/>
      <c r="T84" s="151"/>
      <c r="U84" s="151"/>
      <c r="V84" s="127"/>
      <c r="W84" s="145" t="s">
        <v>4</v>
      </c>
      <c r="X84" s="150"/>
      <c r="Y84" s="151"/>
      <c r="Z84" s="151"/>
      <c r="AA84" s="127"/>
      <c r="AB84" s="145" t="s">
        <v>4</v>
      </c>
      <c r="AC84" s="150"/>
    </row>
    <row r="85" spans="1:29" ht="23.25" customHeight="1" x14ac:dyDescent="0.2">
      <c r="A85" s="146"/>
      <c r="B85" s="134"/>
      <c r="C85" s="133"/>
      <c r="D85" s="134"/>
      <c r="E85" s="131"/>
      <c r="F85" s="143">
        <v>9</v>
      </c>
      <c r="G85" s="313" t="str">
        <f>'[2]BASIS (blanco)'!G68:H68</f>
        <v>Aan te leveren tekeningen en berekeningen opslaan op docstream conform bijbehorende protocol;</v>
      </c>
      <c r="H85" s="314"/>
      <c r="I85" s="260"/>
      <c r="J85" s="129"/>
      <c r="K85" s="128"/>
      <c r="L85" s="142"/>
      <c r="M85" s="145" t="s">
        <v>4</v>
      </c>
      <c r="N85" s="147"/>
      <c r="O85" s="149"/>
      <c r="P85" s="149"/>
      <c r="Q85" s="148"/>
      <c r="R85" s="145" t="s">
        <v>4</v>
      </c>
      <c r="S85" s="147"/>
      <c r="T85" s="149"/>
      <c r="U85" s="149"/>
      <c r="V85" s="148"/>
      <c r="W85" s="145" t="s">
        <v>4</v>
      </c>
      <c r="X85" s="147"/>
      <c r="Y85" s="149"/>
      <c r="Z85" s="149"/>
      <c r="AA85" s="148"/>
      <c r="AB85" s="145" t="s">
        <v>168</v>
      </c>
      <c r="AC85" s="147"/>
    </row>
    <row r="86" spans="1:29" ht="11.25" customHeight="1" x14ac:dyDescent="0.2">
      <c r="A86" s="146"/>
      <c r="B86" s="134"/>
      <c r="C86" s="133"/>
      <c r="D86" s="134"/>
      <c r="E86" s="131"/>
      <c r="F86" s="143">
        <v>10</v>
      </c>
      <c r="G86" s="313" t="str">
        <f>'[2]BASIS (blanco)'!G69:H69</f>
        <v>Het maken van een VenG (deel)plan en werkplan;</v>
      </c>
      <c r="H86" s="314"/>
      <c r="I86" s="260"/>
      <c r="J86" s="129"/>
      <c r="K86" s="128"/>
      <c r="L86" s="142"/>
      <c r="M86" s="145" t="s">
        <v>4</v>
      </c>
      <c r="N86" s="121"/>
      <c r="O86" s="128"/>
      <c r="P86" s="128"/>
      <c r="Q86" s="142"/>
      <c r="R86" s="145" t="s">
        <v>4</v>
      </c>
      <c r="S86" s="121"/>
      <c r="T86" s="128"/>
      <c r="U86" s="128"/>
      <c r="V86" s="142"/>
      <c r="W86" s="145" t="s">
        <v>4</v>
      </c>
      <c r="X86" s="121"/>
      <c r="Y86" s="128"/>
      <c r="Z86" s="128"/>
      <c r="AA86" s="142"/>
      <c r="AB86" s="145" t="s">
        <v>166</v>
      </c>
      <c r="AC86" s="121"/>
    </row>
    <row r="87" spans="1:29" ht="11.25" customHeight="1" x14ac:dyDescent="0.2">
      <c r="A87" s="146"/>
      <c r="B87" s="134"/>
      <c r="C87" s="133"/>
      <c r="D87" s="134"/>
      <c r="E87" s="131"/>
      <c r="F87" s="143">
        <v>11</v>
      </c>
      <c r="G87" s="313" t="str">
        <f>'[2]BASIS (blanco)'!G71:H71</f>
        <v>(RVS) bevestigingsmiddelen;</v>
      </c>
      <c r="H87" s="314"/>
      <c r="I87" s="260"/>
      <c r="J87" s="129"/>
      <c r="K87" s="128"/>
      <c r="L87" s="142"/>
      <c r="M87" s="145" t="s">
        <v>4</v>
      </c>
      <c r="N87" s="121"/>
      <c r="O87" s="128"/>
      <c r="P87" s="128"/>
      <c r="Q87" s="142"/>
      <c r="R87" s="145" t="s">
        <v>4</v>
      </c>
      <c r="S87" s="121"/>
      <c r="T87" s="128"/>
      <c r="U87" s="128"/>
      <c r="V87" s="142"/>
      <c r="W87" s="145" t="s">
        <v>4</v>
      </c>
      <c r="X87" s="121"/>
      <c r="Y87" s="128"/>
      <c r="Z87" s="128"/>
      <c r="AA87" s="142"/>
      <c r="AB87" s="145" t="s">
        <v>4</v>
      </c>
      <c r="AC87" s="121"/>
    </row>
    <row r="88" spans="1:29" ht="22.5" customHeight="1" x14ac:dyDescent="0.2">
      <c r="A88" s="146"/>
      <c r="B88" s="134"/>
      <c r="C88" s="133"/>
      <c r="D88" s="134"/>
      <c r="E88" s="131"/>
      <c r="F88" s="143">
        <v>12</v>
      </c>
      <c r="G88" s="313" t="str">
        <f>'[2]BASIS (blanco)'!G75:H75</f>
        <v>Aan chauffeurs worden de bouwplaats- en afroepplaatstekening voor vrachtwagens verstrekt;</v>
      </c>
      <c r="H88" s="314"/>
      <c r="I88" s="260"/>
      <c r="J88" s="129"/>
      <c r="K88" s="128"/>
      <c r="L88" s="142"/>
      <c r="M88" s="145" t="s">
        <v>4</v>
      </c>
      <c r="N88" s="121"/>
      <c r="O88" s="128"/>
      <c r="P88" s="128"/>
      <c r="Q88" s="142"/>
      <c r="R88" s="145" t="s">
        <v>4</v>
      </c>
      <c r="S88" s="121"/>
      <c r="T88" s="128"/>
      <c r="U88" s="128"/>
      <c r="V88" s="142"/>
      <c r="W88" s="145" t="s">
        <v>4</v>
      </c>
      <c r="X88" s="121"/>
      <c r="Y88" s="128"/>
      <c r="Z88" s="128"/>
      <c r="AA88" s="142"/>
      <c r="AB88" s="145" t="s">
        <v>4</v>
      </c>
      <c r="AC88" s="121"/>
    </row>
    <row r="89" spans="1:29" ht="33.75" customHeight="1" x14ac:dyDescent="0.2">
      <c r="A89" s="146"/>
      <c r="B89" s="134"/>
      <c r="C89" s="133"/>
      <c r="D89" s="134"/>
      <c r="E89" s="131"/>
      <c r="F89" s="143">
        <v>13</v>
      </c>
      <c r="G89" s="313" t="str">
        <f>'[2]BASIS (blanco)'!G76:H76</f>
        <v>Parkeren op terrein is mogelijk zover ruimte beschikbaar. Indien de parkeervakken die aangegeven zijn op bouwplaats vol zijn (uitvoerder is hierin bepalend), zal er buiten het terrein geparkeerd moeten worden kosten en verantwoording hiervan liggen bij de opdrachtnemer;</v>
      </c>
      <c r="H89" s="314"/>
      <c r="I89" s="260"/>
      <c r="J89" s="129"/>
      <c r="K89" s="128"/>
      <c r="L89" s="142"/>
      <c r="M89" s="145" t="s">
        <v>4</v>
      </c>
      <c r="N89" s="121"/>
      <c r="O89" s="128"/>
      <c r="P89" s="128"/>
      <c r="Q89" s="142"/>
      <c r="R89" s="145" t="s">
        <v>4</v>
      </c>
      <c r="S89" s="121"/>
      <c r="T89" s="128"/>
      <c r="U89" s="128"/>
      <c r="V89" s="142"/>
      <c r="W89" s="145" t="s">
        <v>4</v>
      </c>
      <c r="X89" s="121"/>
      <c r="Y89" s="128"/>
      <c r="Z89" s="128"/>
      <c r="AA89" s="142"/>
      <c r="AB89" s="145" t="s">
        <v>4</v>
      </c>
      <c r="AC89" s="121"/>
    </row>
    <row r="90" spans="1:29" ht="22.5" customHeight="1" x14ac:dyDescent="0.2">
      <c r="A90" s="146"/>
      <c r="B90" s="134"/>
      <c r="C90" s="133"/>
      <c r="D90" s="134"/>
      <c r="E90" s="131"/>
      <c r="F90" s="143">
        <v>14</v>
      </c>
      <c r="G90" s="313" t="str">
        <f>'[2]BASIS (blanco)'!G78:H78</f>
        <v>Afwijkingen in de aantallen, afmetingen en hoeveelheden worden, bij ongewijzigde stukken,  niet verrekend en zijn dus voor rekening en risico van de opdrachtnemer;</v>
      </c>
      <c r="H90" s="314"/>
      <c r="I90" s="260"/>
      <c r="J90" s="129"/>
      <c r="K90" s="128"/>
      <c r="L90" s="142"/>
      <c r="M90" s="145" t="s">
        <v>4</v>
      </c>
      <c r="N90" s="121"/>
      <c r="O90" s="128"/>
      <c r="P90" s="128"/>
      <c r="Q90" s="142"/>
      <c r="R90" s="145" t="s">
        <v>4</v>
      </c>
      <c r="S90" s="121"/>
      <c r="T90" s="128"/>
      <c r="U90" s="128"/>
      <c r="V90" s="142"/>
      <c r="W90" s="145" t="s">
        <v>4</v>
      </c>
      <c r="X90" s="121"/>
      <c r="Y90" s="128"/>
      <c r="Z90" s="128"/>
      <c r="AA90" s="142"/>
      <c r="AB90" s="145" t="s">
        <v>4</v>
      </c>
      <c r="AC90" s="121"/>
    </row>
    <row r="91" spans="1:29" ht="11.25" customHeight="1" x14ac:dyDescent="0.2">
      <c r="A91" s="146"/>
      <c r="B91" s="134"/>
      <c r="C91" s="133"/>
      <c r="D91" s="134"/>
      <c r="E91" s="131"/>
      <c r="F91" s="143">
        <v>15</v>
      </c>
      <c r="G91" s="313" t="str">
        <f>'[2]BASIS (blanco)'!G80:H80</f>
        <v>Rekening houden met meerdere arbeidsgangen en meerdere bouwstromen tegelijk;</v>
      </c>
      <c r="H91" s="314"/>
      <c r="I91" s="260"/>
      <c r="J91" s="129"/>
      <c r="K91" s="128"/>
      <c r="L91" s="142"/>
      <c r="M91" s="145" t="s">
        <v>4</v>
      </c>
      <c r="N91" s="121"/>
      <c r="O91" s="128"/>
      <c r="P91" s="128"/>
      <c r="Q91" s="142"/>
      <c r="R91" s="145" t="s">
        <v>4</v>
      </c>
      <c r="S91" s="121"/>
      <c r="T91" s="128"/>
      <c r="U91" s="128"/>
      <c r="V91" s="142"/>
      <c r="W91" s="145" t="s">
        <v>4</v>
      </c>
      <c r="X91" s="121"/>
      <c r="Y91" s="128"/>
      <c r="Z91" s="128"/>
      <c r="AA91" s="142"/>
      <c r="AB91" s="145" t="s">
        <v>4</v>
      </c>
      <c r="AC91" s="121"/>
    </row>
    <row r="92" spans="1:29" ht="11.25" customHeight="1" x14ac:dyDescent="0.2">
      <c r="A92" s="146"/>
      <c r="B92" s="134"/>
      <c r="C92" s="133"/>
      <c r="D92" s="134"/>
      <c r="E92" s="131"/>
      <c r="F92" s="143">
        <v>16</v>
      </c>
      <c r="G92" s="313" t="str">
        <f>'[2]BASIS (blanco)'!G81:H81</f>
        <v>De opdrachtnemer wordt geacht met de situatie ter plaatse bekend te zijn;</v>
      </c>
      <c r="H92" s="314"/>
      <c r="I92" s="260"/>
      <c r="J92" s="129"/>
      <c r="K92" s="128"/>
      <c r="L92" s="142"/>
      <c r="M92" s="145" t="s">
        <v>4</v>
      </c>
      <c r="N92" s="121"/>
      <c r="O92" s="128"/>
      <c r="P92" s="128"/>
      <c r="Q92" s="142"/>
      <c r="R92" s="145" t="s">
        <v>4</v>
      </c>
      <c r="S92" s="121"/>
      <c r="T92" s="128"/>
      <c r="U92" s="128"/>
      <c r="V92" s="142"/>
      <c r="W92" s="145" t="s">
        <v>4</v>
      </c>
      <c r="X92" s="121"/>
      <c r="Y92" s="128"/>
      <c r="Z92" s="128"/>
      <c r="AA92" s="142"/>
      <c r="AB92" s="145" t="s">
        <v>4</v>
      </c>
      <c r="AC92" s="121"/>
    </row>
    <row r="93" spans="1:29" ht="11.25" customHeight="1" x14ac:dyDescent="0.2">
      <c r="A93" s="146"/>
      <c r="B93" s="134"/>
      <c r="C93" s="133"/>
      <c r="D93" s="134"/>
      <c r="E93" s="131"/>
      <c r="F93" s="143">
        <v>17</v>
      </c>
      <c r="G93" s="313" t="str">
        <f>'[2]BASIS (blanco)'!G82:H82</f>
        <v>Uitvoering onder normering ‘Bewuste Bouwers’;</v>
      </c>
      <c r="H93" s="314"/>
      <c r="I93" s="260"/>
      <c r="J93" s="129"/>
      <c r="K93" s="128"/>
      <c r="L93" s="142"/>
      <c r="M93" s="145" t="s">
        <v>4</v>
      </c>
      <c r="N93" s="121"/>
      <c r="O93" s="128"/>
      <c r="P93" s="128"/>
      <c r="Q93" s="142"/>
      <c r="R93" s="145" t="s">
        <v>4</v>
      </c>
      <c r="S93" s="121"/>
      <c r="T93" s="128"/>
      <c r="U93" s="128"/>
      <c r="V93" s="142"/>
      <c r="W93" s="145" t="s">
        <v>4</v>
      </c>
      <c r="X93" s="121"/>
      <c r="Y93" s="128"/>
      <c r="Z93" s="128"/>
      <c r="AA93" s="142"/>
      <c r="AB93" s="145" t="s">
        <v>4</v>
      </c>
      <c r="AC93" s="121"/>
    </row>
    <row r="94" spans="1:29" ht="11.25" customHeight="1" x14ac:dyDescent="0.2">
      <c r="A94" s="146"/>
      <c r="B94" s="134"/>
      <c r="C94" s="133"/>
      <c r="D94" s="134"/>
      <c r="E94" s="131"/>
      <c r="F94" s="143">
        <v>18</v>
      </c>
      <c r="G94" s="313" t="str">
        <f>'[2]BASIS (blanco)'!G83:H83</f>
        <v>Het inachtnemen en leveren van de ARBO-veiligheidsvoorzieningen (complete randbeveiliging);</v>
      </c>
      <c r="H94" s="314"/>
      <c r="I94" s="260"/>
      <c r="J94" s="129"/>
      <c r="K94" s="128"/>
      <c r="L94" s="142"/>
      <c r="M94" s="145" t="s">
        <v>4</v>
      </c>
      <c r="N94" s="121"/>
      <c r="O94" s="128"/>
      <c r="P94" s="128"/>
      <c r="Q94" s="142"/>
      <c r="R94" s="145" t="s">
        <v>4</v>
      </c>
      <c r="S94" s="121"/>
      <c r="T94" s="128"/>
      <c r="U94" s="128"/>
      <c r="V94" s="142"/>
      <c r="W94" s="145" t="s">
        <v>4</v>
      </c>
      <c r="X94" s="121"/>
      <c r="Y94" s="128"/>
      <c r="Z94" s="128"/>
      <c r="AA94" s="142"/>
      <c r="AB94" s="145" t="s">
        <v>4</v>
      </c>
      <c r="AC94" s="121"/>
    </row>
    <row r="95" spans="1:29" ht="11.25" customHeight="1" x14ac:dyDescent="0.2">
      <c r="A95" s="146"/>
      <c r="B95" s="134"/>
      <c r="C95" s="133"/>
      <c r="D95" s="134"/>
      <c r="E95" s="131"/>
      <c r="F95" s="143">
        <v>19</v>
      </c>
      <c r="G95" s="313" t="str">
        <f>'[2]BASIS (blanco)'!G84:H84</f>
        <v>Er vindt geen verrekening plaats als gevolg van prijsstijgingen in welke vorm dan ook;</v>
      </c>
      <c r="H95" s="314"/>
      <c r="I95" s="260"/>
      <c r="J95" s="129"/>
      <c r="K95" s="128"/>
      <c r="L95" s="142"/>
      <c r="M95" s="145" t="s">
        <v>4</v>
      </c>
      <c r="N95" s="121"/>
      <c r="O95" s="128"/>
      <c r="P95" s="128"/>
      <c r="Q95" s="142"/>
      <c r="R95" s="145" t="s">
        <v>4</v>
      </c>
      <c r="S95" s="121"/>
      <c r="T95" s="128"/>
      <c r="U95" s="128"/>
      <c r="V95" s="142"/>
      <c r="W95" s="145" t="s">
        <v>4</v>
      </c>
      <c r="X95" s="121"/>
      <c r="Y95" s="128"/>
      <c r="Z95" s="128"/>
      <c r="AA95" s="142"/>
      <c r="AB95" s="145" t="s">
        <v>4</v>
      </c>
      <c r="AC95" s="121"/>
    </row>
    <row r="96" spans="1:29" ht="11.25" customHeight="1" x14ac:dyDescent="0.2">
      <c r="A96" s="146"/>
      <c r="B96" s="134"/>
      <c r="C96" s="133"/>
      <c r="D96" s="134"/>
      <c r="E96" s="131"/>
      <c r="F96" s="143">
        <v>20</v>
      </c>
      <c r="G96" s="313" t="str">
        <f>'[2]BASIS (blanco)'!G85:H85</f>
        <v>De levering en werkzaamheden dienen te voldoen aan alle thans geldende voorschriften;</v>
      </c>
      <c r="H96" s="314"/>
      <c r="I96" s="260"/>
      <c r="J96" s="129"/>
      <c r="K96" s="128"/>
      <c r="L96" s="142"/>
      <c r="M96" s="145" t="s">
        <v>4</v>
      </c>
      <c r="N96" s="121"/>
      <c r="O96" s="128"/>
      <c r="P96" s="128"/>
      <c r="Q96" s="142"/>
      <c r="R96" s="145" t="s">
        <v>4</v>
      </c>
      <c r="S96" s="121"/>
      <c r="T96" s="128"/>
      <c r="U96" s="128"/>
      <c r="V96" s="142"/>
      <c r="W96" s="145" t="s">
        <v>4</v>
      </c>
      <c r="X96" s="121"/>
      <c r="Y96" s="128"/>
      <c r="Z96" s="128"/>
      <c r="AA96" s="142"/>
      <c r="AB96" s="145" t="s">
        <v>4</v>
      </c>
      <c r="AC96" s="121"/>
    </row>
    <row r="97" spans="1:29" ht="22.5" customHeight="1" x14ac:dyDescent="0.2">
      <c r="A97" s="146"/>
      <c r="B97" s="134"/>
      <c r="C97" s="133"/>
      <c r="D97" s="134"/>
      <c r="E97" s="131"/>
      <c r="F97" s="143">
        <v>21</v>
      </c>
      <c r="G97" s="313" t="str">
        <f>'[2]BASIS (blanco)'!G87:H87</f>
        <v>De opdrachtnemer wordt geacht om de materialen te  verwerken conform de verwerkingsvoorschriften (van fabrikant);</v>
      </c>
      <c r="H97" s="314"/>
      <c r="I97" s="260"/>
      <c r="J97" s="129"/>
      <c r="K97" s="128"/>
      <c r="L97" s="142"/>
      <c r="M97" s="145" t="s">
        <v>4</v>
      </c>
      <c r="N97" s="121"/>
      <c r="O97" s="128"/>
      <c r="P97" s="128"/>
      <c r="Q97" s="142"/>
      <c r="R97" s="145" t="s">
        <v>4</v>
      </c>
      <c r="S97" s="121"/>
      <c r="T97" s="128"/>
      <c r="U97" s="128"/>
      <c r="V97" s="142"/>
      <c r="W97" s="145" t="s">
        <v>4</v>
      </c>
      <c r="X97" s="121"/>
      <c r="Y97" s="128"/>
      <c r="Z97" s="128"/>
      <c r="AA97" s="142"/>
      <c r="AB97" s="145" t="s">
        <v>4</v>
      </c>
      <c r="AC97" s="121"/>
    </row>
    <row r="98" spans="1:29" ht="13.5" customHeight="1" x14ac:dyDescent="0.2">
      <c r="A98" s="146"/>
      <c r="B98" s="134"/>
      <c r="C98" s="133"/>
      <c r="D98" s="134"/>
      <c r="E98" s="131"/>
      <c r="F98" s="143">
        <v>22</v>
      </c>
      <c r="G98" s="313" t="str">
        <f>'[2]BASIS (blanco)'!G88:H88</f>
        <v>Het leveren van alle materialen onder KOMO-attest-met productcertificaat en aantoonbare herkomst;</v>
      </c>
      <c r="H98" s="314"/>
      <c r="I98" s="260"/>
      <c r="J98" s="129"/>
      <c r="K98" s="128"/>
      <c r="L98" s="142"/>
      <c r="M98" s="145" t="s">
        <v>4</v>
      </c>
      <c r="N98" s="121"/>
      <c r="O98" s="128"/>
      <c r="P98" s="128"/>
      <c r="Q98" s="142"/>
      <c r="R98" s="145" t="s">
        <v>4</v>
      </c>
      <c r="S98" s="121"/>
      <c r="T98" s="128"/>
      <c r="U98" s="128"/>
      <c r="V98" s="142"/>
      <c r="W98" s="145" t="s">
        <v>4</v>
      </c>
      <c r="X98" s="121"/>
      <c r="Y98" s="128"/>
      <c r="Z98" s="128"/>
      <c r="AA98" s="142"/>
      <c r="AB98" s="145" t="s">
        <v>4</v>
      </c>
      <c r="AC98" s="121"/>
    </row>
    <row r="99" spans="1:29" ht="11.25" customHeight="1" x14ac:dyDescent="0.2">
      <c r="A99" s="146"/>
      <c r="B99" s="134"/>
      <c r="C99" s="133"/>
      <c r="D99" s="134"/>
      <c r="E99" s="131"/>
      <c r="F99" s="143">
        <v>23</v>
      </c>
      <c r="G99" s="313" t="str">
        <f>'[2]BASIS (blanco)'!G89:H89</f>
        <v>Indien hout geleverd wordt zal het hout FSC gecertificeerd dienen te zijn;</v>
      </c>
      <c r="H99" s="314"/>
      <c r="I99" s="260"/>
      <c r="J99" s="129"/>
      <c r="K99" s="128"/>
      <c r="L99" s="142"/>
      <c r="M99" s="145" t="s">
        <v>4</v>
      </c>
      <c r="N99" s="121"/>
      <c r="O99" s="128"/>
      <c r="P99" s="128"/>
      <c r="Q99" s="142"/>
      <c r="R99" s="145" t="s">
        <v>4</v>
      </c>
      <c r="S99" s="121"/>
      <c r="T99" s="128"/>
      <c r="U99" s="128"/>
      <c r="V99" s="142"/>
      <c r="W99" s="145" t="s">
        <v>4</v>
      </c>
      <c r="X99" s="121"/>
      <c r="Y99" s="128"/>
      <c r="Z99" s="128"/>
      <c r="AA99" s="142"/>
      <c r="AB99" s="145" t="s">
        <v>4</v>
      </c>
      <c r="AC99" s="121"/>
    </row>
    <row r="100" spans="1:29" ht="21.75" customHeight="1" x14ac:dyDescent="0.2">
      <c r="A100" s="146"/>
      <c r="B100" s="134"/>
      <c r="C100" s="133"/>
      <c r="D100" s="134"/>
      <c r="E100" s="131"/>
      <c r="F100" s="143">
        <v>24</v>
      </c>
      <c r="G100" s="313" t="str">
        <f>'[2]BASIS (blanco)'!G90:H90</f>
        <v>Het is onderaannemer niet toegestaan reclame te maken over dit project ofwel meldingen hierover te verspreiden op Social Media, zonder nadrukkelijke toestemming van Pleijsier Bouw;</v>
      </c>
      <c r="H100" s="314"/>
      <c r="I100" s="260"/>
      <c r="J100" s="129"/>
      <c r="K100" s="128"/>
      <c r="L100" s="142"/>
      <c r="M100" s="145" t="s">
        <v>4</v>
      </c>
      <c r="N100" s="121"/>
      <c r="O100" s="128"/>
      <c r="P100" s="128"/>
      <c r="Q100" s="142"/>
      <c r="R100" s="145" t="s">
        <v>4</v>
      </c>
      <c r="S100" s="121"/>
      <c r="T100" s="128"/>
      <c r="U100" s="128"/>
      <c r="V100" s="142"/>
      <c r="W100" s="145" t="s">
        <v>4</v>
      </c>
      <c r="X100" s="121"/>
      <c r="Y100" s="128"/>
      <c r="Z100" s="128"/>
      <c r="AA100" s="142"/>
      <c r="AB100" s="145" t="s">
        <v>4</v>
      </c>
      <c r="AC100" s="121"/>
    </row>
    <row r="101" spans="1:29" ht="22.5" customHeight="1" x14ac:dyDescent="0.2">
      <c r="A101" s="146"/>
      <c r="B101" s="134"/>
      <c r="C101" s="133"/>
      <c r="D101" s="134"/>
      <c r="E101" s="131"/>
      <c r="F101" s="143">
        <v>25</v>
      </c>
      <c r="G101" s="313" t="str">
        <f>'[2]BASIS (blanco)'!G91:H91</f>
        <v>Opslag op bouwplaats beperkt mogelijk en alleen in overleg met de uitvoerder van Pleijsier (geldt ook voor keten/containers);</v>
      </c>
      <c r="H101" s="314"/>
      <c r="I101" s="260"/>
      <c r="J101" s="129"/>
      <c r="K101" s="128"/>
      <c r="L101" s="142"/>
      <c r="M101" s="145" t="s">
        <v>4</v>
      </c>
      <c r="N101" s="121"/>
      <c r="O101" s="128"/>
      <c r="P101" s="128"/>
      <c r="Q101" s="142"/>
      <c r="R101" s="145" t="s">
        <v>4</v>
      </c>
      <c r="S101" s="121"/>
      <c r="T101" s="128"/>
      <c r="U101" s="128"/>
      <c r="V101" s="142"/>
      <c r="W101" s="145" t="s">
        <v>4</v>
      </c>
      <c r="X101" s="121"/>
      <c r="Y101" s="128"/>
      <c r="Z101" s="128"/>
      <c r="AA101" s="142"/>
      <c r="AB101" s="145" t="s">
        <v>4</v>
      </c>
      <c r="AC101" s="121"/>
    </row>
    <row r="102" spans="1:29" x14ac:dyDescent="0.2">
      <c r="A102" s="144"/>
      <c r="B102" s="134"/>
      <c r="C102" s="133"/>
      <c r="D102" s="132"/>
      <c r="E102" s="131"/>
      <c r="F102" s="143"/>
      <c r="G102" s="292"/>
      <c r="H102" s="293"/>
      <c r="I102" s="253"/>
      <c r="J102" s="129"/>
      <c r="K102" s="128"/>
      <c r="L102" s="142"/>
      <c r="M102" s="122"/>
      <c r="N102" s="121"/>
      <c r="O102" s="128"/>
      <c r="P102" s="128"/>
      <c r="Q102" s="142"/>
      <c r="R102" s="122"/>
      <c r="S102" s="121"/>
      <c r="T102" s="128"/>
      <c r="U102" s="128"/>
      <c r="V102" s="142"/>
      <c r="W102" s="122"/>
      <c r="X102" s="121"/>
      <c r="Y102" s="128"/>
      <c r="Z102" s="128"/>
      <c r="AA102" s="142"/>
      <c r="AB102" s="122"/>
      <c r="AC102" s="121"/>
    </row>
    <row r="103" spans="1:29" x14ac:dyDescent="0.2">
      <c r="A103" s="120"/>
      <c r="B103" s="134"/>
      <c r="C103" s="133"/>
      <c r="D103" s="132"/>
      <c r="E103" s="131"/>
      <c r="F103" s="141" t="s">
        <v>33</v>
      </c>
      <c r="G103" s="317" t="s">
        <v>32</v>
      </c>
      <c r="H103" s="318"/>
      <c r="I103" s="261"/>
      <c r="J103" s="140"/>
      <c r="K103" s="112"/>
      <c r="L103" s="111"/>
      <c r="M103" s="113"/>
      <c r="N103" s="109"/>
      <c r="O103" s="139"/>
      <c r="P103" s="112"/>
      <c r="Q103" s="111"/>
      <c r="R103" s="110"/>
      <c r="S103" s="109"/>
      <c r="T103" s="139"/>
      <c r="U103" s="112"/>
      <c r="V103" s="111"/>
      <c r="W103" s="110"/>
      <c r="X103" s="109"/>
      <c r="Y103" s="139"/>
      <c r="Z103" s="112"/>
      <c r="AA103" s="111"/>
      <c r="AB103" s="110"/>
      <c r="AC103" s="109"/>
    </row>
    <row r="104" spans="1:29" x14ac:dyDescent="0.2">
      <c r="A104" s="120"/>
      <c r="B104" s="138"/>
      <c r="C104" s="118"/>
      <c r="D104" s="132"/>
      <c r="E104" s="116"/>
      <c r="F104" s="137">
        <v>1</v>
      </c>
      <c r="G104" s="319" t="s">
        <v>164</v>
      </c>
      <c r="H104" s="320"/>
      <c r="I104" s="262"/>
      <c r="J104" s="129"/>
      <c r="K104" s="128"/>
      <c r="L104" s="130"/>
      <c r="M104" s="126" t="s">
        <v>4</v>
      </c>
      <c r="N104" s="121"/>
      <c r="O104" s="128"/>
      <c r="P104" s="128"/>
      <c r="Q104" s="130"/>
      <c r="R104" s="126" t="s">
        <v>4</v>
      </c>
      <c r="S104" s="121"/>
      <c r="T104" s="128"/>
      <c r="U104" s="128"/>
      <c r="V104" s="130"/>
      <c r="W104" s="126" t="s">
        <v>4</v>
      </c>
      <c r="X104" s="121"/>
      <c r="Y104" s="128"/>
      <c r="Z104" s="128"/>
      <c r="AA104" s="130"/>
      <c r="AB104" s="126" t="s">
        <v>4</v>
      </c>
      <c r="AC104" s="121"/>
    </row>
    <row r="105" spans="1:29" x14ac:dyDescent="0.2">
      <c r="A105" s="120"/>
      <c r="B105" s="119"/>
      <c r="C105" s="118"/>
      <c r="D105" s="117"/>
      <c r="E105" s="116"/>
      <c r="F105" s="121"/>
      <c r="G105" s="321"/>
      <c r="H105" s="322"/>
      <c r="I105" s="263"/>
      <c r="J105" s="129"/>
      <c r="K105" s="128"/>
      <c r="L105" s="130"/>
      <c r="M105" s="122"/>
      <c r="N105" s="121"/>
      <c r="O105" s="128"/>
      <c r="P105" s="128"/>
      <c r="Q105" s="130"/>
      <c r="R105" s="135"/>
      <c r="S105" s="121"/>
      <c r="T105" s="128"/>
      <c r="U105" s="128"/>
      <c r="V105" s="130"/>
      <c r="W105" s="135"/>
      <c r="X105" s="121"/>
      <c r="Y105" s="128"/>
      <c r="Z105" s="128"/>
      <c r="AA105" s="130"/>
      <c r="AB105" s="135"/>
      <c r="AC105" s="121"/>
    </row>
    <row r="106" spans="1:29" x14ac:dyDescent="0.2">
      <c r="A106" s="120"/>
      <c r="B106" s="119"/>
      <c r="C106" s="118"/>
      <c r="D106" s="117"/>
      <c r="E106" s="116"/>
      <c r="F106" s="115" t="s">
        <v>31</v>
      </c>
      <c r="G106" s="323" t="s">
        <v>30</v>
      </c>
      <c r="H106" s="324"/>
      <c r="I106" s="264"/>
      <c r="J106" s="114"/>
      <c r="K106" s="112"/>
      <c r="L106" s="111"/>
      <c r="M106" s="113"/>
      <c r="N106" s="109"/>
      <c r="O106" s="112"/>
      <c r="P106" s="112"/>
      <c r="Q106" s="111"/>
      <c r="R106" s="110"/>
      <c r="S106" s="109"/>
      <c r="T106" s="112"/>
      <c r="U106" s="112"/>
      <c r="V106" s="111"/>
      <c r="W106" s="110"/>
      <c r="X106" s="109"/>
      <c r="Y106" s="112"/>
      <c r="Z106" s="112"/>
      <c r="AA106" s="111"/>
      <c r="AB106" s="110"/>
      <c r="AC106" s="109"/>
    </row>
    <row r="107" spans="1:29" x14ac:dyDescent="0.2">
      <c r="A107" s="120"/>
      <c r="B107" s="119"/>
      <c r="C107" s="118"/>
      <c r="D107" s="117"/>
      <c r="E107" s="116"/>
      <c r="F107" s="121">
        <v>1</v>
      </c>
      <c r="G107" s="309" t="s">
        <v>161</v>
      </c>
      <c r="H107" s="310"/>
      <c r="I107" s="265"/>
      <c r="J107" s="129"/>
      <c r="K107" s="128"/>
      <c r="L107" s="130"/>
      <c r="M107" s="136" t="s">
        <v>28</v>
      </c>
      <c r="N107" s="121"/>
      <c r="O107" s="128"/>
      <c r="P107" s="128"/>
      <c r="Q107" s="130"/>
      <c r="R107" s="136" t="s">
        <v>28</v>
      </c>
      <c r="S107" s="121"/>
      <c r="T107" s="128"/>
      <c r="U107" s="128"/>
      <c r="V107" s="130"/>
      <c r="W107" s="126" t="s">
        <v>4</v>
      </c>
      <c r="X107" s="121"/>
      <c r="Y107" s="128"/>
      <c r="Z107" s="128"/>
      <c r="AA107" s="130"/>
      <c r="AB107" s="126" t="s">
        <v>4</v>
      </c>
      <c r="AC107" s="121"/>
    </row>
    <row r="108" spans="1:29" x14ac:dyDescent="0.2">
      <c r="A108" s="120"/>
      <c r="B108" s="119"/>
      <c r="C108" s="118"/>
      <c r="D108" s="117"/>
      <c r="E108" s="116"/>
      <c r="F108" s="121">
        <v>2</v>
      </c>
      <c r="G108" s="311" t="s">
        <v>29</v>
      </c>
      <c r="H108" s="312"/>
      <c r="I108" s="266"/>
      <c r="J108" s="129"/>
      <c r="K108" s="128"/>
      <c r="L108" s="130"/>
      <c r="M108" s="136" t="s">
        <v>28</v>
      </c>
      <c r="N108" s="121"/>
      <c r="O108" s="128"/>
      <c r="P108" s="128"/>
      <c r="Q108" s="130"/>
      <c r="R108" s="136" t="s">
        <v>28</v>
      </c>
      <c r="S108" s="121"/>
      <c r="T108" s="128"/>
      <c r="U108" s="128"/>
      <c r="V108" s="130"/>
      <c r="W108" s="126" t="s">
        <v>4</v>
      </c>
      <c r="X108" s="121"/>
      <c r="Y108" s="128"/>
      <c r="Z108" s="128"/>
      <c r="AA108" s="130"/>
      <c r="AB108" s="126" t="s">
        <v>4</v>
      </c>
      <c r="AC108" s="121"/>
    </row>
    <row r="109" spans="1:29" x14ac:dyDescent="0.2">
      <c r="A109" s="120"/>
      <c r="B109" s="119"/>
      <c r="C109" s="118"/>
      <c r="D109" s="117"/>
      <c r="E109" s="116"/>
      <c r="F109" s="121" t="s">
        <v>169</v>
      </c>
      <c r="G109" s="273" t="s">
        <v>170</v>
      </c>
      <c r="H109" s="274"/>
      <c r="I109" s="266"/>
      <c r="J109" s="129"/>
      <c r="K109" s="128"/>
      <c r="L109" s="130"/>
      <c r="M109" s="136"/>
      <c r="N109" s="121"/>
      <c r="O109" s="128"/>
      <c r="P109" s="128"/>
      <c r="Q109" s="130"/>
      <c r="R109" s="136"/>
      <c r="S109" s="121"/>
      <c r="T109" s="128"/>
      <c r="U109" s="128"/>
      <c r="V109" s="130"/>
      <c r="W109" s="126"/>
      <c r="X109" s="121"/>
      <c r="Y109" s="128"/>
      <c r="Z109" s="128"/>
      <c r="AA109" s="130"/>
      <c r="AB109" s="126" t="s">
        <v>4</v>
      </c>
      <c r="AC109" s="121"/>
    </row>
    <row r="110" spans="1:29" x14ac:dyDescent="0.2">
      <c r="A110" s="120"/>
      <c r="B110" s="119"/>
      <c r="C110" s="118"/>
      <c r="D110" s="117"/>
      <c r="E110" s="116"/>
      <c r="F110" s="121"/>
      <c r="G110" s="303"/>
      <c r="H110" s="304"/>
      <c r="I110" s="255"/>
      <c r="J110" s="129"/>
      <c r="K110" s="128"/>
      <c r="L110" s="130"/>
      <c r="M110" s="122"/>
      <c r="N110" s="121"/>
      <c r="O110" s="128"/>
      <c r="P110" s="128"/>
      <c r="Q110" s="130"/>
      <c r="R110" s="135"/>
      <c r="S110" s="121"/>
      <c r="T110" s="128"/>
      <c r="U110" s="128"/>
      <c r="V110" s="130"/>
      <c r="W110" s="135"/>
      <c r="X110" s="121"/>
      <c r="Y110" s="128"/>
      <c r="Z110" s="128"/>
      <c r="AA110" s="130"/>
      <c r="AB110" s="135"/>
      <c r="AC110" s="121"/>
    </row>
    <row r="111" spans="1:29" x14ac:dyDescent="0.2">
      <c r="A111" s="120"/>
      <c r="B111" s="119"/>
      <c r="C111" s="118"/>
      <c r="D111" s="117"/>
      <c r="E111" s="116"/>
      <c r="F111" s="115" t="s">
        <v>27</v>
      </c>
      <c r="G111" s="323" t="s">
        <v>26</v>
      </c>
      <c r="H111" s="324"/>
      <c r="I111" s="264"/>
      <c r="J111" s="114"/>
      <c r="K111" s="112"/>
      <c r="L111" s="111"/>
      <c r="M111" s="113"/>
      <c r="N111" s="109"/>
      <c r="O111" s="112"/>
      <c r="P111" s="112"/>
      <c r="Q111" s="111"/>
      <c r="R111" s="110"/>
      <c r="S111" s="109"/>
      <c r="T111" s="112"/>
      <c r="U111" s="112"/>
      <c r="V111" s="111"/>
      <c r="W111" s="110"/>
      <c r="X111" s="109"/>
      <c r="Y111" s="112"/>
      <c r="Z111" s="112"/>
      <c r="AA111" s="111"/>
      <c r="AB111" s="110"/>
      <c r="AC111" s="109"/>
    </row>
    <row r="112" spans="1:29" x14ac:dyDescent="0.2">
      <c r="A112" s="120"/>
      <c r="B112" s="134"/>
      <c r="C112" s="133"/>
      <c r="D112" s="132"/>
      <c r="E112" s="131"/>
      <c r="F112" s="121">
        <v>1</v>
      </c>
      <c r="G112" s="292" t="s">
        <v>162</v>
      </c>
      <c r="H112" s="293"/>
      <c r="I112" s="253"/>
      <c r="J112" s="129"/>
      <c r="K112" s="128"/>
      <c r="L112" s="130"/>
      <c r="M112" s="126" t="s">
        <v>4</v>
      </c>
      <c r="N112" s="121"/>
      <c r="O112" s="128"/>
      <c r="P112" s="128"/>
      <c r="Q112" s="130"/>
      <c r="R112" s="126" t="s">
        <v>4</v>
      </c>
      <c r="S112" s="121"/>
      <c r="T112" s="128"/>
      <c r="U112" s="128"/>
      <c r="V112" s="130"/>
      <c r="W112" s="126" t="s">
        <v>4</v>
      </c>
      <c r="X112" s="121"/>
      <c r="Y112" s="128"/>
      <c r="Z112" s="128"/>
      <c r="AA112" s="130"/>
      <c r="AB112" s="126" t="s">
        <v>4</v>
      </c>
      <c r="AC112" s="121"/>
    </row>
    <row r="113" spans="1:29" x14ac:dyDescent="0.2">
      <c r="A113" s="120"/>
      <c r="B113" s="119"/>
      <c r="C113" s="118"/>
      <c r="D113" s="117"/>
      <c r="E113" s="116"/>
      <c r="F113" s="121">
        <v>2</v>
      </c>
      <c r="G113" s="315" t="s">
        <v>25</v>
      </c>
      <c r="H113" s="316"/>
      <c r="I113" s="267"/>
      <c r="J113" s="129"/>
      <c r="K113" s="128"/>
      <c r="L113" s="127"/>
      <c r="M113" s="126" t="s">
        <v>4</v>
      </c>
      <c r="N113" s="121"/>
      <c r="O113" s="128"/>
      <c r="P113" s="128"/>
      <c r="Q113" s="127"/>
      <c r="R113" s="126" t="s">
        <v>4</v>
      </c>
      <c r="S113" s="121"/>
      <c r="T113" s="128"/>
      <c r="U113" s="128"/>
      <c r="V113" s="127"/>
      <c r="W113" s="126" t="s">
        <v>4</v>
      </c>
      <c r="X113" s="121"/>
      <c r="Y113" s="128"/>
      <c r="Z113" s="128"/>
      <c r="AA113" s="127"/>
      <c r="AB113" s="126" t="s">
        <v>4</v>
      </c>
      <c r="AC113" s="121"/>
    </row>
    <row r="114" spans="1:29" x14ac:dyDescent="0.2">
      <c r="A114" s="120"/>
      <c r="B114" s="119"/>
      <c r="C114" s="118"/>
      <c r="D114" s="117"/>
      <c r="E114" s="116"/>
      <c r="F114" s="121"/>
      <c r="G114" s="303"/>
      <c r="H114" s="304"/>
      <c r="I114" s="263"/>
      <c r="J114" s="125"/>
      <c r="K114" s="124"/>
      <c r="L114" s="123"/>
      <c r="M114" s="122"/>
      <c r="N114" s="121"/>
      <c r="O114" s="124"/>
      <c r="P114" s="124"/>
      <c r="Q114" s="123"/>
      <c r="R114" s="122"/>
      <c r="S114" s="121"/>
      <c r="T114" s="124"/>
      <c r="U114" s="124"/>
      <c r="V114" s="123"/>
      <c r="W114" s="122"/>
      <c r="X114" s="121"/>
      <c r="Y114" s="124"/>
      <c r="Z114" s="124"/>
      <c r="AA114" s="123"/>
      <c r="AB114" s="122"/>
      <c r="AC114" s="121"/>
    </row>
    <row r="115" spans="1:29" x14ac:dyDescent="0.2">
      <c r="A115" s="120"/>
      <c r="B115" s="119"/>
      <c r="C115" s="118"/>
      <c r="D115" s="117"/>
      <c r="E115" s="116"/>
      <c r="F115" s="115" t="s">
        <v>24</v>
      </c>
      <c r="G115" s="325" t="s">
        <v>23</v>
      </c>
      <c r="H115" s="326"/>
      <c r="I115" s="268"/>
      <c r="J115" s="114"/>
      <c r="K115" s="112"/>
      <c r="L115" s="111"/>
      <c r="M115" s="113"/>
      <c r="N115" s="109"/>
      <c r="O115" s="112"/>
      <c r="P115" s="112"/>
      <c r="Q115" s="111"/>
      <c r="R115" s="110"/>
      <c r="S115" s="109"/>
      <c r="T115" s="112"/>
      <c r="U115" s="112"/>
      <c r="V115" s="111"/>
      <c r="W115" s="110"/>
      <c r="X115" s="109"/>
      <c r="Y115" s="112"/>
      <c r="Z115" s="112"/>
      <c r="AA115" s="111"/>
      <c r="AB115" s="110"/>
      <c r="AC115" s="109"/>
    </row>
    <row r="116" spans="1:29" x14ac:dyDescent="0.2">
      <c r="A116" s="108"/>
      <c r="B116" s="107"/>
      <c r="C116" s="106"/>
      <c r="D116" s="105"/>
      <c r="E116" s="104"/>
      <c r="F116" s="98"/>
      <c r="G116" s="307"/>
      <c r="H116" s="308"/>
      <c r="I116" s="269"/>
      <c r="J116" s="103"/>
      <c r="K116" s="101"/>
      <c r="L116" s="100"/>
      <c r="M116" s="102"/>
      <c r="N116" s="98"/>
      <c r="O116" s="101"/>
      <c r="P116" s="101"/>
      <c r="Q116" s="100"/>
      <c r="R116" s="99"/>
      <c r="S116" s="98"/>
      <c r="T116" s="101"/>
      <c r="U116" s="101"/>
      <c r="V116" s="100"/>
      <c r="W116" s="99"/>
      <c r="X116" s="98"/>
      <c r="Y116" s="101"/>
      <c r="Z116" s="101"/>
      <c r="AA116" s="100"/>
      <c r="AB116" s="99"/>
      <c r="AC116" s="98"/>
    </row>
    <row r="117" spans="1:29" x14ac:dyDescent="0.2">
      <c r="A117" s="94"/>
      <c r="B117" s="92"/>
      <c r="C117" s="93"/>
      <c r="D117" s="97" t="s">
        <v>22</v>
      </c>
      <c r="E117" s="91">
        <f>SUM(E10:E114)</f>
        <v>373616.86</v>
      </c>
      <c r="F117" s="10"/>
      <c r="G117" s="10"/>
      <c r="H117" s="10"/>
      <c r="I117" s="10"/>
      <c r="J117" s="82"/>
      <c r="K117" s="81"/>
      <c r="L117" s="96" t="s">
        <v>21</v>
      </c>
      <c r="M117" s="95">
        <f>SUM(M10:M116)</f>
        <v>357450</v>
      </c>
      <c r="N117" s="80"/>
      <c r="O117" s="10"/>
      <c r="P117" s="10"/>
      <c r="Q117" s="96" t="s">
        <v>21</v>
      </c>
      <c r="R117" s="95">
        <f>SUM(R10:R116)</f>
        <v>320016.08799999999</v>
      </c>
      <c r="S117" s="10"/>
      <c r="T117" s="10"/>
      <c r="U117" s="10"/>
      <c r="V117" s="96" t="s">
        <v>21</v>
      </c>
      <c r="W117" s="95">
        <f>SUM(W10:W116)</f>
        <v>317820.45</v>
      </c>
      <c r="X117" s="10"/>
      <c r="Y117" s="10"/>
      <c r="Z117" s="10"/>
      <c r="AA117" s="96" t="s">
        <v>21</v>
      </c>
      <c r="AB117" s="95">
        <f>SUM(AB10:AB116)</f>
        <v>352131.5</v>
      </c>
      <c r="AC117" s="10"/>
    </row>
    <row r="118" spans="1:29" ht="13.8" x14ac:dyDescent="0.3">
      <c r="A118" s="94"/>
      <c r="B118" s="92"/>
      <c r="C118" s="93"/>
      <c r="D118" s="92"/>
      <c r="E118" s="91"/>
      <c r="F118" s="10"/>
      <c r="G118" s="10"/>
      <c r="H118" s="10"/>
      <c r="I118" s="10"/>
      <c r="J118" s="82"/>
      <c r="K118" s="81"/>
      <c r="L118" s="78"/>
      <c r="M118" s="79"/>
      <c r="N118" s="80"/>
      <c r="O118" s="10"/>
      <c r="P118" s="10"/>
      <c r="Q118" s="78"/>
      <c r="R118" s="79"/>
      <c r="S118" s="10"/>
      <c r="T118" s="10"/>
      <c r="U118" s="10"/>
      <c r="V118" s="78"/>
      <c r="W118" s="79"/>
      <c r="X118" s="10"/>
      <c r="Y118" s="10"/>
      <c r="Z118" s="10"/>
      <c r="AA118" s="78"/>
      <c r="AB118" s="79"/>
      <c r="AC118" s="10"/>
    </row>
    <row r="119" spans="1:29" ht="33.6" x14ac:dyDescent="0.65">
      <c r="A119" s="90" t="s">
        <v>18</v>
      </c>
      <c r="B119" s="89"/>
      <c r="C119" s="89"/>
      <c r="D119" s="88"/>
      <c r="E119" s="87"/>
      <c r="F119" s="10"/>
      <c r="G119" s="10"/>
      <c r="H119" s="10"/>
      <c r="I119" s="10"/>
      <c r="J119" s="82"/>
      <c r="K119" s="81"/>
      <c r="L119" s="78"/>
      <c r="M119" s="86"/>
      <c r="N119" s="86"/>
      <c r="O119" s="10"/>
      <c r="P119" s="10"/>
      <c r="Q119" s="78"/>
      <c r="R119" s="85"/>
      <c r="S119" s="4"/>
      <c r="T119" s="10"/>
      <c r="U119" s="10"/>
      <c r="V119" s="78"/>
      <c r="W119" s="84"/>
      <c r="X119" s="4"/>
      <c r="Y119" s="10"/>
      <c r="Z119" s="10"/>
      <c r="AA119" s="78"/>
      <c r="AB119" s="84"/>
      <c r="AC119" s="4"/>
    </row>
    <row r="120" spans="1:29" ht="13.8" x14ac:dyDescent="0.3">
      <c r="A120" s="83" t="str">
        <f>K2</f>
        <v>Preco</v>
      </c>
      <c r="B120" s="10"/>
      <c r="C120" s="10"/>
      <c r="D120" s="10"/>
      <c r="E120" s="64">
        <f>M117</f>
        <v>357450</v>
      </c>
      <c r="F120" s="10"/>
      <c r="G120" s="10"/>
      <c r="H120" s="10"/>
      <c r="I120" s="10"/>
      <c r="J120" s="82"/>
      <c r="K120" s="81"/>
      <c r="L120" s="78"/>
      <c r="M120" s="79"/>
      <c r="N120" s="80"/>
      <c r="O120" s="10"/>
      <c r="P120" s="10"/>
      <c r="Q120" s="78"/>
      <c r="R120" s="79"/>
      <c r="S120" s="10"/>
      <c r="T120" s="10"/>
      <c r="U120" s="10"/>
      <c r="V120" s="78"/>
      <c r="W120" s="77"/>
      <c r="X120" s="10"/>
      <c r="Y120" s="10"/>
      <c r="Z120" s="10"/>
      <c r="AA120" s="78"/>
      <c r="AB120" s="77">
        <v>352131.5</v>
      </c>
      <c r="AC120" s="10"/>
    </row>
    <row r="121" spans="1:29" ht="15.6" x14ac:dyDescent="0.2">
      <c r="A121" s="63" t="s">
        <v>16</v>
      </c>
      <c r="B121" s="4"/>
      <c r="C121" s="4"/>
      <c r="D121" s="10"/>
      <c r="E121" s="76">
        <f>E122/M117</f>
        <v>4.5228311651979256E-2</v>
      </c>
      <c r="F121" s="9"/>
      <c r="G121" s="55"/>
      <c r="H121" s="55"/>
      <c r="I121" s="55"/>
      <c r="J121" s="10"/>
      <c r="K121" s="10"/>
      <c r="L121" s="71"/>
      <c r="M121" s="73"/>
      <c r="N121" s="71"/>
      <c r="O121" s="10"/>
      <c r="P121" s="10"/>
      <c r="Q121" s="10"/>
      <c r="R121" s="10"/>
      <c r="S121" s="10"/>
      <c r="T121" s="38"/>
      <c r="U121" s="37"/>
      <c r="V121" s="54"/>
      <c r="W121" s="53"/>
      <c r="X121" s="11"/>
      <c r="Y121" s="38"/>
      <c r="Z121" s="37"/>
      <c r="AA121" s="54"/>
      <c r="AB121" s="53"/>
      <c r="AC121" s="11"/>
    </row>
    <row r="122" spans="1:29" ht="12" x14ac:dyDescent="0.2">
      <c r="A122" s="60" t="s">
        <v>15</v>
      </c>
      <c r="B122" s="75"/>
      <c r="C122" s="75"/>
      <c r="D122" s="74"/>
      <c r="E122" s="58">
        <f>E117-M117</f>
        <v>16166.859999999986</v>
      </c>
      <c r="F122" s="9"/>
      <c r="G122" s="11"/>
      <c r="H122" s="41"/>
      <c r="I122" s="41"/>
      <c r="J122" s="10"/>
      <c r="K122" s="10"/>
      <c r="L122" s="71"/>
      <c r="M122" s="73"/>
      <c r="N122" s="71"/>
      <c r="O122" s="10"/>
      <c r="P122" s="10"/>
      <c r="Q122" s="10"/>
      <c r="R122" s="10"/>
      <c r="S122" s="10"/>
      <c r="T122" s="38"/>
      <c r="U122" s="37"/>
      <c r="V122" s="36"/>
      <c r="W122" s="35"/>
      <c r="X122" s="11"/>
      <c r="Y122" s="38"/>
      <c r="Z122" s="37"/>
      <c r="AA122" s="36"/>
      <c r="AB122" s="35"/>
      <c r="AC122" s="11"/>
    </row>
    <row r="123" spans="1:29" ht="13.2" x14ac:dyDescent="0.2">
      <c r="A123" s="68"/>
      <c r="B123" s="65"/>
      <c r="C123" s="65"/>
      <c r="D123" s="65"/>
      <c r="E123" s="67"/>
      <c r="F123" s="9"/>
      <c r="G123" s="11"/>
      <c r="H123" s="41"/>
      <c r="I123" s="41"/>
      <c r="J123" s="10"/>
      <c r="K123" s="10"/>
      <c r="L123" s="71"/>
      <c r="M123" s="72"/>
      <c r="N123" s="71"/>
      <c r="O123" s="10"/>
      <c r="P123" s="10"/>
      <c r="Q123" s="10"/>
      <c r="R123" s="10"/>
      <c r="S123" s="10"/>
      <c r="T123" s="38"/>
      <c r="U123" s="37"/>
      <c r="V123" s="36"/>
      <c r="W123" s="35"/>
      <c r="X123" s="11"/>
      <c r="Y123" s="38"/>
      <c r="Z123" s="37"/>
      <c r="AA123" s="36"/>
      <c r="AB123" s="35"/>
      <c r="AC123" s="11"/>
    </row>
    <row r="124" spans="1:29" x14ac:dyDescent="0.2">
      <c r="A124" s="66" t="str">
        <f>P2</f>
        <v>nieuwpoort</v>
      </c>
      <c r="B124" s="65"/>
      <c r="C124" s="65"/>
      <c r="D124" s="65"/>
      <c r="E124" s="64">
        <f>R117</f>
        <v>320016.08799999999</v>
      </c>
      <c r="F124" s="49"/>
      <c r="G124" s="11"/>
      <c r="H124" s="41"/>
      <c r="I124" s="41"/>
      <c r="J124" s="56"/>
      <c r="K124" s="56"/>
      <c r="L124" s="56"/>
      <c r="M124" s="56"/>
      <c r="N124" s="47"/>
      <c r="O124" s="10"/>
      <c r="P124" s="10"/>
      <c r="Q124" s="10"/>
      <c r="R124" s="69"/>
      <c r="S124" s="10"/>
      <c r="T124" s="38"/>
      <c r="U124" s="37"/>
      <c r="V124" s="36"/>
      <c r="W124" s="35"/>
      <c r="X124" s="11"/>
      <c r="Y124" s="38"/>
      <c r="Z124" s="37"/>
      <c r="AA124" s="36"/>
      <c r="AB124" s="35"/>
      <c r="AC124" s="11"/>
    </row>
    <row r="125" spans="1:29" x14ac:dyDescent="0.2">
      <c r="A125" s="63" t="s">
        <v>16</v>
      </c>
      <c r="B125" s="10"/>
      <c r="C125" s="10"/>
      <c r="D125" s="10"/>
      <c r="E125" s="62">
        <f>E126/R117</f>
        <v>0.16749399173956528</v>
      </c>
      <c r="F125" s="49"/>
      <c r="G125" s="11"/>
      <c r="H125" s="41"/>
      <c r="I125" s="41"/>
      <c r="J125" s="56"/>
      <c r="K125" s="56"/>
      <c r="L125" s="56"/>
      <c r="M125" s="56"/>
      <c r="N125" s="47"/>
      <c r="O125" s="10"/>
      <c r="P125" s="10"/>
      <c r="Q125" s="10"/>
      <c r="R125" s="69"/>
      <c r="S125" s="10"/>
      <c r="T125" s="38"/>
      <c r="U125" s="37"/>
      <c r="V125" s="36"/>
      <c r="W125" s="35"/>
      <c r="X125" s="11"/>
      <c r="Y125" s="38"/>
      <c r="Z125" s="37"/>
      <c r="AA125" s="36"/>
      <c r="AB125" s="35"/>
      <c r="AC125" s="11"/>
    </row>
    <row r="126" spans="1:29" x14ac:dyDescent="0.2">
      <c r="A126" s="60" t="s">
        <v>15</v>
      </c>
      <c r="B126" s="59"/>
      <c r="C126" s="59"/>
      <c r="D126" s="59"/>
      <c r="E126" s="58">
        <f>E117-E124</f>
        <v>53600.771999999997</v>
      </c>
      <c r="F126" s="49"/>
      <c r="G126" s="11"/>
      <c r="H126" s="41"/>
      <c r="I126" s="41"/>
      <c r="J126" s="37"/>
      <c r="K126" s="37"/>
      <c r="L126" s="48"/>
      <c r="M126" s="35"/>
      <c r="N126" s="70"/>
      <c r="O126" s="10"/>
      <c r="P126" s="10"/>
      <c r="Q126" s="10"/>
      <c r="R126" s="69"/>
      <c r="S126" s="10"/>
      <c r="T126" s="38"/>
      <c r="U126" s="37"/>
      <c r="V126" s="36"/>
      <c r="W126" s="35"/>
      <c r="X126" s="11"/>
      <c r="Y126" s="38"/>
      <c r="Z126" s="37"/>
      <c r="AA126" s="36"/>
      <c r="AB126" s="35"/>
      <c r="AC126" s="11"/>
    </row>
    <row r="127" spans="1:29" x14ac:dyDescent="0.2">
      <c r="A127" s="68"/>
      <c r="B127" s="65"/>
      <c r="C127" s="65"/>
      <c r="D127" s="65"/>
      <c r="E127" s="67"/>
      <c r="F127" s="49"/>
      <c r="G127" s="11"/>
      <c r="H127" s="41"/>
      <c r="I127" s="41"/>
      <c r="J127" s="61"/>
      <c r="K127" s="56"/>
      <c r="L127" s="56"/>
      <c r="M127" s="56"/>
      <c r="N127" s="47"/>
      <c r="O127" s="10"/>
      <c r="P127" s="10"/>
      <c r="Q127" s="10"/>
      <c r="R127" s="10"/>
      <c r="S127" s="10"/>
      <c r="T127" s="38"/>
      <c r="U127" s="37"/>
      <c r="V127" s="36"/>
      <c r="W127" s="35"/>
      <c r="X127" s="11"/>
      <c r="Y127" s="38"/>
      <c r="Z127" s="37"/>
      <c r="AA127" s="36"/>
      <c r="AB127" s="35"/>
      <c r="AC127" s="11"/>
    </row>
    <row r="128" spans="1:29" x14ac:dyDescent="0.2">
      <c r="A128" s="66" t="s">
        <v>17</v>
      </c>
      <c r="B128" s="65"/>
      <c r="C128" s="65"/>
      <c r="D128" s="65"/>
      <c r="E128" s="64">
        <f>W117</f>
        <v>317820.45</v>
      </c>
      <c r="F128" s="49"/>
      <c r="G128" s="11"/>
      <c r="H128" s="41"/>
      <c r="I128" s="41"/>
      <c r="J128" s="56"/>
      <c r="K128" s="56"/>
      <c r="L128" s="56"/>
      <c r="M128" s="56"/>
      <c r="N128" s="47"/>
      <c r="O128" s="10"/>
      <c r="P128" s="10"/>
      <c r="Q128" s="10"/>
      <c r="R128" s="10"/>
      <c r="S128" s="10"/>
      <c r="T128" s="38"/>
      <c r="U128" s="37"/>
      <c r="V128" s="36"/>
      <c r="W128" s="35"/>
      <c r="X128" s="11"/>
      <c r="Y128" s="38"/>
      <c r="Z128" s="37"/>
      <c r="AA128" s="36"/>
      <c r="AB128" s="35"/>
      <c r="AC128" s="11"/>
    </row>
    <row r="129" spans="1:29" x14ac:dyDescent="0.2">
      <c r="A129" s="63" t="s">
        <v>16</v>
      </c>
      <c r="B129" s="10"/>
      <c r="C129" s="10"/>
      <c r="D129" s="10"/>
      <c r="E129" s="62">
        <f>E130/W117</f>
        <v>0.17555953369268709</v>
      </c>
      <c r="F129" s="49"/>
      <c r="G129" s="11"/>
      <c r="H129" s="41"/>
      <c r="I129" s="41"/>
      <c r="J129" s="61"/>
      <c r="K129" s="56"/>
      <c r="L129" s="56"/>
      <c r="M129" s="56"/>
      <c r="N129" s="47"/>
      <c r="O129" s="10"/>
      <c r="P129" s="10"/>
      <c r="Q129" s="10"/>
      <c r="R129" s="10"/>
      <c r="S129" s="10"/>
      <c r="T129" s="38"/>
      <c r="U129" s="37"/>
      <c r="V129" s="36"/>
      <c r="W129" s="35"/>
      <c r="X129" s="11"/>
      <c r="Y129" s="38"/>
      <c r="Z129" s="37"/>
      <c r="AA129" s="36"/>
      <c r="AB129" s="35"/>
      <c r="AC129" s="11"/>
    </row>
    <row r="130" spans="1:29" x14ac:dyDescent="0.2">
      <c r="A130" s="60" t="s">
        <v>15</v>
      </c>
      <c r="B130" s="59"/>
      <c r="C130" s="59"/>
      <c r="D130" s="59"/>
      <c r="E130" s="58">
        <f>E117-E128</f>
        <v>55796.409999999974</v>
      </c>
      <c r="F130" s="49"/>
      <c r="G130" s="11"/>
      <c r="H130" s="41"/>
      <c r="I130" s="41"/>
      <c r="J130" s="10"/>
      <c r="K130" s="56"/>
      <c r="L130" s="56"/>
      <c r="M130" s="56"/>
      <c r="N130" s="47"/>
      <c r="O130" s="10"/>
      <c r="P130" s="10"/>
      <c r="Q130" s="10"/>
      <c r="R130" s="10"/>
      <c r="S130" s="10"/>
      <c r="T130" s="38"/>
      <c r="U130" s="37"/>
      <c r="V130" s="36"/>
      <c r="W130" s="35"/>
      <c r="X130" s="11"/>
      <c r="Y130" s="38"/>
      <c r="Z130" s="37"/>
      <c r="AA130" s="36"/>
      <c r="AB130" s="35"/>
      <c r="AC130" s="11"/>
    </row>
    <row r="131" spans="1:29" x14ac:dyDescent="0.2">
      <c r="A131" s="68"/>
      <c r="B131" s="65"/>
      <c r="C131" s="65"/>
      <c r="D131" s="65"/>
      <c r="E131" s="67"/>
      <c r="F131" s="49"/>
      <c r="G131" s="11"/>
      <c r="H131" s="41"/>
      <c r="I131" s="41"/>
      <c r="J131" s="37"/>
      <c r="K131" s="37"/>
      <c r="L131" s="48"/>
      <c r="M131" s="35"/>
      <c r="N131" s="47"/>
      <c r="O131" s="10"/>
      <c r="P131" s="10"/>
      <c r="Q131" s="10"/>
      <c r="R131" s="10"/>
      <c r="S131" s="10"/>
      <c r="T131" s="38"/>
      <c r="U131" s="37"/>
      <c r="V131" s="36"/>
      <c r="W131" s="35"/>
      <c r="X131" s="11"/>
      <c r="Y131" s="38"/>
      <c r="Z131" s="37"/>
      <c r="AA131" s="36"/>
      <c r="AB131" s="35"/>
      <c r="AC131" s="11"/>
    </row>
    <row r="132" spans="1:29" x14ac:dyDescent="0.2">
      <c r="A132" s="66" t="s">
        <v>19</v>
      </c>
      <c r="B132" s="65"/>
      <c r="C132" s="65"/>
      <c r="D132" s="65"/>
      <c r="E132" s="64">
        <f>AB117</f>
        <v>352131.5</v>
      </c>
      <c r="F132" s="49"/>
      <c r="G132" s="11"/>
      <c r="H132" s="41"/>
      <c r="I132" s="41"/>
      <c r="J132" s="37"/>
      <c r="K132" s="37"/>
      <c r="L132" s="48"/>
      <c r="M132" s="35"/>
      <c r="N132" s="47"/>
      <c r="O132" s="10"/>
      <c r="P132" s="10"/>
      <c r="Q132" s="10"/>
      <c r="R132" s="10"/>
      <c r="S132" s="10"/>
      <c r="T132" s="38"/>
      <c r="U132" s="37"/>
      <c r="V132" s="36"/>
      <c r="W132" s="35"/>
      <c r="X132" s="11"/>
      <c r="Y132" s="38"/>
      <c r="Z132" s="37"/>
      <c r="AA132" s="36"/>
      <c r="AB132" s="35"/>
      <c r="AC132" s="11"/>
    </row>
    <row r="133" spans="1:29" x14ac:dyDescent="0.2">
      <c r="A133" s="63" t="s">
        <v>16</v>
      </c>
      <c r="B133" s="10"/>
      <c r="C133" s="10"/>
      <c r="D133" s="10"/>
      <c r="E133" s="62">
        <f>E134/AB117</f>
        <v>6.1015160529518053E-2</v>
      </c>
      <c r="F133" s="49"/>
      <c r="G133" s="11"/>
      <c r="H133" s="41"/>
      <c r="I133" s="41"/>
      <c r="J133" s="37"/>
      <c r="K133" s="37"/>
      <c r="L133" s="48"/>
      <c r="M133" s="35"/>
      <c r="N133" s="47"/>
      <c r="O133" s="10"/>
      <c r="P133" s="10"/>
      <c r="Q133" s="10"/>
      <c r="R133" s="10"/>
      <c r="S133" s="10"/>
      <c r="T133" s="38"/>
      <c r="U133" s="37"/>
      <c r="V133" s="36"/>
      <c r="W133" s="35"/>
      <c r="X133" s="11"/>
      <c r="Y133" s="38"/>
      <c r="Z133" s="37"/>
      <c r="AA133" s="36"/>
      <c r="AB133" s="35"/>
      <c r="AC133" s="11"/>
    </row>
    <row r="134" spans="1:29" x14ac:dyDescent="0.2">
      <c r="A134" s="60" t="s">
        <v>15</v>
      </c>
      <c r="B134" s="59"/>
      <c r="C134" s="59"/>
      <c r="D134" s="59"/>
      <c r="E134" s="58">
        <f>E117-E132</f>
        <v>21485.359999999986</v>
      </c>
      <c r="F134" s="49"/>
      <c r="G134" s="49"/>
      <c r="H134" s="49"/>
      <c r="I134" s="49"/>
      <c r="J134" s="37"/>
      <c r="K134" s="37"/>
      <c r="L134" s="48"/>
      <c r="M134" s="35"/>
      <c r="N134" s="47"/>
      <c r="O134" s="10"/>
      <c r="P134" s="10"/>
      <c r="Q134" s="10"/>
      <c r="R134" s="10"/>
      <c r="S134" s="10"/>
      <c r="T134" s="57"/>
      <c r="U134" s="56"/>
      <c r="V134" s="56"/>
      <c r="W134" s="56"/>
      <c r="X134" s="47"/>
      <c r="Y134" s="57"/>
      <c r="Z134" s="56"/>
      <c r="AA134" s="56"/>
      <c r="AB134" s="56"/>
      <c r="AC134" s="47"/>
    </row>
    <row r="135" spans="1:29" x14ac:dyDescent="0.2">
      <c r="A135" s="10"/>
      <c r="B135" s="51"/>
      <c r="C135" s="52"/>
      <c r="D135" s="51"/>
      <c r="E135" s="50"/>
      <c r="F135" s="49"/>
      <c r="G135" s="49"/>
      <c r="H135" s="49"/>
      <c r="I135" s="49"/>
      <c r="J135" s="37"/>
      <c r="K135" s="37"/>
      <c r="L135" s="48"/>
      <c r="M135" s="35"/>
      <c r="N135" s="47"/>
      <c r="O135" s="10"/>
      <c r="P135" s="10"/>
      <c r="Q135" s="10"/>
      <c r="R135" s="10"/>
      <c r="S135" s="10"/>
      <c r="T135" s="10"/>
      <c r="U135" s="56"/>
      <c r="V135" s="56"/>
      <c r="W135" s="56"/>
      <c r="X135" s="47"/>
      <c r="Y135" s="10"/>
      <c r="Z135" s="56"/>
      <c r="AA135" s="56"/>
      <c r="AB135" s="56"/>
      <c r="AC135" s="47"/>
    </row>
    <row r="136" spans="1:29" ht="15.6" x14ac:dyDescent="0.2">
      <c r="A136" s="10"/>
      <c r="B136" s="51"/>
      <c r="C136" s="52"/>
      <c r="D136" s="51"/>
      <c r="E136" s="50"/>
      <c r="F136" s="49"/>
      <c r="G136" s="55"/>
      <c r="H136" s="55"/>
      <c r="I136" s="55"/>
      <c r="J136" s="37"/>
      <c r="K136" s="37"/>
      <c r="L136" s="48"/>
      <c r="M136" s="35"/>
      <c r="N136" s="47"/>
      <c r="O136" s="10"/>
      <c r="P136" s="10"/>
      <c r="Q136" s="10"/>
      <c r="R136" s="10"/>
      <c r="S136" s="10"/>
      <c r="T136" s="38"/>
      <c r="U136" s="37"/>
      <c r="V136" s="54"/>
      <c r="W136" s="53"/>
      <c r="X136" s="11"/>
      <c r="Y136" s="38"/>
      <c r="Z136" s="37"/>
      <c r="AA136" s="54"/>
      <c r="AB136" s="53"/>
      <c r="AC136" s="11"/>
    </row>
    <row r="137" spans="1:29" x14ac:dyDescent="0.2">
      <c r="A137" s="10"/>
      <c r="B137" s="51"/>
      <c r="C137" s="52"/>
      <c r="D137" s="51"/>
      <c r="E137" s="50"/>
      <c r="F137" s="49"/>
      <c r="G137" s="11"/>
      <c r="H137" s="41"/>
      <c r="I137" s="41"/>
      <c r="J137" s="37"/>
      <c r="K137" s="37"/>
      <c r="L137" s="48"/>
      <c r="M137" s="35"/>
      <c r="N137" s="47"/>
      <c r="O137" s="10"/>
      <c r="P137" s="10"/>
      <c r="Q137" s="10"/>
      <c r="R137" s="10"/>
      <c r="S137" s="10"/>
      <c r="T137" s="38"/>
      <c r="U137" s="37"/>
      <c r="V137" s="36"/>
      <c r="W137" s="35"/>
      <c r="X137" s="11"/>
      <c r="Y137" s="38"/>
      <c r="Z137" s="37"/>
      <c r="AA137" s="36"/>
      <c r="AB137" s="35"/>
      <c r="AC137" s="11"/>
    </row>
    <row r="138" spans="1:29" x14ac:dyDescent="0.2">
      <c r="A138" s="10"/>
      <c r="B138" s="51"/>
      <c r="C138" s="52"/>
      <c r="D138" s="51"/>
      <c r="E138" s="50"/>
      <c r="F138" s="49"/>
      <c r="G138" s="11"/>
      <c r="H138" s="41"/>
      <c r="I138" s="41"/>
      <c r="J138" s="37"/>
      <c r="K138" s="37"/>
      <c r="L138" s="48"/>
      <c r="M138" s="35"/>
      <c r="N138" s="47"/>
      <c r="O138" s="10"/>
      <c r="P138" s="10"/>
      <c r="Q138" s="10"/>
      <c r="R138" s="10"/>
      <c r="S138" s="10"/>
      <c r="T138" s="38"/>
      <c r="U138" s="37"/>
      <c r="V138" s="36"/>
      <c r="W138" s="35"/>
      <c r="X138" s="11"/>
      <c r="Y138" s="38"/>
      <c r="Z138" s="37"/>
      <c r="AA138" s="36"/>
      <c r="AB138" s="35"/>
      <c r="AC138" s="11"/>
    </row>
    <row r="139" spans="1:29" x14ac:dyDescent="0.2">
      <c r="A139" s="10"/>
      <c r="B139" s="51"/>
      <c r="C139" s="52"/>
      <c r="D139" s="51"/>
      <c r="E139" s="50"/>
      <c r="F139" s="49"/>
      <c r="G139" s="11"/>
      <c r="H139" s="41"/>
      <c r="I139" s="41"/>
      <c r="J139" s="37"/>
      <c r="K139" s="37"/>
      <c r="L139" s="48"/>
      <c r="M139" s="35"/>
      <c r="N139" s="47"/>
      <c r="O139" s="10"/>
      <c r="P139" s="10"/>
      <c r="Q139" s="10"/>
      <c r="R139" s="10"/>
      <c r="S139" s="10"/>
      <c r="T139" s="38"/>
      <c r="U139" s="37"/>
      <c r="V139" s="36"/>
      <c r="W139" s="35"/>
      <c r="X139" s="11"/>
      <c r="Y139" s="38"/>
      <c r="Z139" s="37"/>
      <c r="AA139" s="36"/>
      <c r="AB139" s="35"/>
      <c r="AC139" s="11"/>
    </row>
    <row r="140" spans="1:29" x14ac:dyDescent="0.2">
      <c r="A140" s="10"/>
      <c r="B140" s="51"/>
      <c r="C140" s="52"/>
      <c r="D140" s="51"/>
      <c r="E140" s="50"/>
      <c r="F140" s="49"/>
      <c r="G140" s="11"/>
      <c r="H140" s="41"/>
      <c r="I140" s="41"/>
      <c r="J140" s="37"/>
      <c r="K140" s="37"/>
      <c r="L140" s="48"/>
      <c r="M140" s="35"/>
      <c r="N140" s="47"/>
      <c r="O140" s="10"/>
      <c r="P140" s="10"/>
      <c r="Q140" s="10"/>
      <c r="R140" s="10"/>
      <c r="S140" s="10"/>
      <c r="T140" s="38"/>
      <c r="U140" s="37"/>
      <c r="V140" s="36"/>
      <c r="W140" s="35"/>
      <c r="X140" s="11"/>
      <c r="Y140" s="38"/>
      <c r="Z140" s="37"/>
      <c r="AA140" s="36"/>
      <c r="AB140" s="35"/>
      <c r="AC140" s="11"/>
    </row>
    <row r="141" spans="1:29" x14ac:dyDescent="0.2">
      <c r="A141" s="10"/>
      <c r="B141" s="51"/>
      <c r="C141" s="52"/>
      <c r="D141" s="51"/>
      <c r="E141" s="50"/>
      <c r="F141" s="49"/>
      <c r="G141" s="11"/>
      <c r="H141" s="41"/>
      <c r="I141" s="41"/>
      <c r="J141" s="37"/>
      <c r="K141" s="37"/>
      <c r="L141" s="48"/>
      <c r="M141" s="35"/>
      <c r="N141" s="47"/>
      <c r="O141" s="10"/>
      <c r="P141" s="10"/>
      <c r="Q141" s="10"/>
      <c r="R141" s="10"/>
      <c r="S141" s="10"/>
      <c r="T141" s="38"/>
      <c r="U141" s="37"/>
      <c r="V141" s="36"/>
      <c r="W141" s="35"/>
      <c r="X141" s="11"/>
      <c r="Y141" s="38"/>
      <c r="Z141" s="37"/>
      <c r="AA141" s="36"/>
      <c r="AB141" s="35"/>
      <c r="AC141" s="11"/>
    </row>
    <row r="142" spans="1:29" x14ac:dyDescent="0.2">
      <c r="A142" s="10"/>
      <c r="B142" s="51"/>
      <c r="C142" s="52"/>
      <c r="D142" s="51"/>
      <c r="E142" s="50"/>
      <c r="F142" s="49"/>
      <c r="G142" s="11"/>
      <c r="H142" s="41"/>
      <c r="I142" s="41"/>
      <c r="J142" s="37"/>
      <c r="K142" s="37"/>
      <c r="L142" s="48"/>
      <c r="M142" s="35"/>
      <c r="N142" s="47"/>
      <c r="O142" s="10"/>
      <c r="P142" s="10"/>
      <c r="Q142" s="10"/>
      <c r="R142" s="10"/>
      <c r="S142" s="10"/>
      <c r="T142" s="38"/>
      <c r="U142" s="37"/>
      <c r="V142" s="36"/>
      <c r="W142" s="35"/>
      <c r="X142" s="11"/>
      <c r="Y142" s="38"/>
      <c r="Z142" s="37"/>
      <c r="AA142" s="36"/>
      <c r="AB142" s="35"/>
      <c r="AC142" s="11"/>
    </row>
    <row r="143" spans="1:29" x14ac:dyDescent="0.2">
      <c r="A143" s="10"/>
      <c r="B143" s="51"/>
      <c r="C143" s="52"/>
      <c r="D143" s="51"/>
      <c r="E143" s="50"/>
      <c r="F143" s="49"/>
      <c r="G143" s="11"/>
      <c r="H143" s="41"/>
      <c r="I143" s="41"/>
      <c r="J143" s="37"/>
      <c r="K143" s="37"/>
      <c r="L143" s="48"/>
      <c r="M143" s="35"/>
      <c r="N143" s="47"/>
      <c r="O143" s="10"/>
      <c r="P143" s="10"/>
      <c r="Q143" s="10"/>
      <c r="R143" s="10"/>
      <c r="S143" s="10"/>
      <c r="T143" s="38"/>
      <c r="U143" s="37"/>
      <c r="V143" s="36"/>
      <c r="W143" s="35"/>
      <c r="X143" s="11"/>
      <c r="Y143" s="38"/>
      <c r="Z143" s="37"/>
      <c r="AA143" s="36"/>
      <c r="AB143" s="35"/>
      <c r="AC143" s="11"/>
    </row>
    <row r="144" spans="1:29" x14ac:dyDescent="0.2">
      <c r="A144" s="11"/>
      <c r="B144" s="10"/>
      <c r="C144" s="10"/>
      <c r="D144" s="10"/>
      <c r="E144" s="10"/>
      <c r="F144" s="9"/>
      <c r="G144" s="11"/>
      <c r="H144" s="41"/>
      <c r="I144" s="41"/>
      <c r="J144" s="10"/>
      <c r="K144" s="10"/>
      <c r="L144" s="9"/>
      <c r="M144" s="10"/>
      <c r="N144" s="10"/>
      <c r="O144" s="10"/>
      <c r="P144" s="10"/>
      <c r="Q144" s="10"/>
      <c r="R144" s="10"/>
      <c r="S144" s="10"/>
      <c r="T144" s="38"/>
      <c r="U144" s="37"/>
      <c r="V144" s="36"/>
      <c r="W144" s="35"/>
      <c r="X144" s="11"/>
      <c r="Y144" s="38"/>
      <c r="Z144" s="37"/>
      <c r="AA144" s="36"/>
      <c r="AB144" s="35"/>
      <c r="AC144" s="11"/>
    </row>
    <row r="145" spans="1:29" ht="10.8" thickBot="1" x14ac:dyDescent="0.25">
      <c r="A145" s="11"/>
      <c r="B145" s="10"/>
      <c r="C145" s="10"/>
      <c r="D145" s="10"/>
      <c r="E145" s="10"/>
      <c r="F145" s="9"/>
      <c r="G145" s="11"/>
      <c r="H145" s="41"/>
      <c r="I145" s="41"/>
      <c r="J145" s="10"/>
      <c r="K145" s="10"/>
      <c r="L145" s="9"/>
      <c r="M145" s="10"/>
      <c r="N145" s="10"/>
      <c r="O145" s="10"/>
      <c r="P145" s="10"/>
      <c r="Q145" s="10"/>
      <c r="R145" s="10"/>
      <c r="S145" s="10"/>
      <c r="T145" s="38"/>
      <c r="U145" s="37"/>
      <c r="V145" s="36"/>
      <c r="W145" s="35"/>
      <c r="X145" s="11"/>
      <c r="Y145" s="38"/>
      <c r="Z145" s="37"/>
      <c r="AA145" s="36"/>
      <c r="AB145" s="35"/>
      <c r="AC145" s="11"/>
    </row>
    <row r="146" spans="1:29" x14ac:dyDescent="0.2">
      <c r="A146" s="11"/>
      <c r="B146" s="10"/>
      <c r="C146" s="10"/>
      <c r="D146" s="10"/>
      <c r="E146" s="10"/>
      <c r="F146" s="10"/>
      <c r="G146" s="11"/>
      <c r="H146" s="41"/>
      <c r="I146" s="41"/>
      <c r="J146" s="10"/>
      <c r="K146" s="10"/>
      <c r="L146" s="45" t="s">
        <v>14</v>
      </c>
      <c r="M146" s="46" t="s">
        <v>13</v>
      </c>
      <c r="N146" s="5"/>
      <c r="O146" s="5"/>
      <c r="P146" s="5"/>
      <c r="Q146" s="45" t="s">
        <v>14</v>
      </c>
      <c r="R146" s="44" t="s">
        <v>13</v>
      </c>
      <c r="S146" s="5"/>
      <c r="T146" s="38"/>
      <c r="U146" s="37"/>
      <c r="V146" s="36"/>
      <c r="W146" s="35"/>
      <c r="X146" s="11"/>
      <c r="Y146" s="38"/>
      <c r="Z146" s="37"/>
      <c r="AA146" s="36"/>
      <c r="AB146" s="35"/>
      <c r="AC146" s="11"/>
    </row>
    <row r="147" spans="1:29" x14ac:dyDescent="0.2">
      <c r="A147" s="11"/>
      <c r="B147" s="10"/>
      <c r="C147" s="10"/>
      <c r="D147" s="10"/>
      <c r="E147" s="10"/>
      <c r="F147" s="10"/>
      <c r="G147" s="11"/>
      <c r="H147" s="41"/>
      <c r="I147" s="41"/>
      <c r="J147" s="10"/>
      <c r="K147" s="9"/>
      <c r="L147" s="15"/>
      <c r="M147" s="43" t="s">
        <v>12</v>
      </c>
      <c r="N147" s="5"/>
      <c r="O147" s="5"/>
      <c r="P147" s="5"/>
      <c r="Q147" s="15"/>
      <c r="R147" s="42" t="s">
        <v>12</v>
      </c>
      <c r="S147" s="5"/>
      <c r="T147" s="38"/>
      <c r="U147" s="37"/>
      <c r="V147" s="36"/>
      <c r="W147" s="35"/>
      <c r="X147" s="11"/>
      <c r="Y147" s="38"/>
      <c r="Z147" s="37"/>
      <c r="AA147" s="36"/>
      <c r="AB147" s="35"/>
      <c r="AC147" s="11"/>
    </row>
    <row r="148" spans="1:29" ht="14.4" x14ac:dyDescent="0.3">
      <c r="A148" s="24"/>
      <c r="B148" s="24"/>
      <c r="D148" s="10"/>
      <c r="E148" s="10"/>
      <c r="F148" s="10"/>
      <c r="G148" s="11"/>
      <c r="H148" s="41"/>
      <c r="I148" s="41"/>
      <c r="J148" s="10"/>
      <c r="K148" s="10"/>
      <c r="L148" s="15"/>
      <c r="M148" s="40" t="s">
        <v>11</v>
      </c>
      <c r="N148" s="5"/>
      <c r="O148" s="5"/>
      <c r="P148" s="5"/>
      <c r="Q148" s="15"/>
      <c r="R148" s="39" t="s">
        <v>11</v>
      </c>
      <c r="S148" s="5"/>
      <c r="T148" s="38"/>
      <c r="U148" s="37"/>
      <c r="V148" s="36"/>
      <c r="W148" s="35"/>
      <c r="X148" s="11"/>
      <c r="Y148" s="38"/>
      <c r="Z148" s="37"/>
      <c r="AA148" s="36"/>
      <c r="AB148" s="35"/>
      <c r="AC148" s="11"/>
    </row>
    <row r="149" spans="1:29" ht="14.4" x14ac:dyDescent="0.3">
      <c r="A149" s="24"/>
      <c r="B149" s="24"/>
      <c r="D149" s="10"/>
      <c r="E149" s="10"/>
      <c r="F149" s="10"/>
      <c r="G149" s="1"/>
      <c r="H149" s="10"/>
      <c r="I149" s="10"/>
      <c r="J149" s="10"/>
      <c r="K149" s="10"/>
      <c r="L149" s="15"/>
      <c r="M149" s="34">
        <v>0</v>
      </c>
      <c r="N149" s="5"/>
      <c r="O149" s="5"/>
      <c r="P149" s="5"/>
      <c r="Q149" s="15"/>
      <c r="R149" s="33">
        <v>0</v>
      </c>
      <c r="S149" s="5"/>
      <c r="T149" s="32"/>
      <c r="U149" s="31"/>
      <c r="V149" s="31"/>
      <c r="W149" s="30"/>
      <c r="X149" s="29"/>
      <c r="Y149" s="32"/>
      <c r="Z149" s="31"/>
      <c r="AA149" s="31"/>
      <c r="AB149" s="30"/>
      <c r="AC149" s="29"/>
    </row>
    <row r="150" spans="1:29" ht="14.4" x14ac:dyDescent="0.3">
      <c r="A150" s="24"/>
      <c r="B150" s="24"/>
      <c r="D150" s="10"/>
      <c r="E150" s="10"/>
      <c r="F150" s="10"/>
      <c r="G150" s="10"/>
      <c r="H150" s="10"/>
      <c r="I150" s="10"/>
      <c r="J150" s="10"/>
      <c r="K150" s="9"/>
      <c r="L150" s="15"/>
      <c r="M150" s="28" t="s">
        <v>10</v>
      </c>
      <c r="N150" s="5"/>
      <c r="O150" s="5"/>
      <c r="P150" s="5"/>
      <c r="Q150" s="15"/>
      <c r="R150" s="27" t="s">
        <v>10</v>
      </c>
      <c r="S150" s="5"/>
      <c r="T150" s="10"/>
      <c r="U150" s="10"/>
      <c r="V150" s="10"/>
      <c r="W150" s="13"/>
      <c r="X150" s="12"/>
      <c r="Y150" s="10"/>
      <c r="Z150" s="10"/>
      <c r="AA150" s="10"/>
      <c r="AB150" s="13"/>
      <c r="AC150" s="12"/>
    </row>
    <row r="151" spans="1:29" ht="14.4" x14ac:dyDescent="0.3">
      <c r="A151" s="24"/>
      <c r="B151" s="24"/>
      <c r="D151" s="10"/>
      <c r="E151" s="10"/>
      <c r="F151" s="10"/>
      <c r="G151" s="10"/>
      <c r="H151" s="10"/>
      <c r="I151" s="10"/>
      <c r="J151" s="10"/>
      <c r="K151" s="9"/>
      <c r="L151" s="15"/>
      <c r="M151" s="26" t="s">
        <v>9</v>
      </c>
      <c r="N151" s="5"/>
      <c r="O151" s="5"/>
      <c r="P151" s="5"/>
      <c r="Q151" s="15"/>
      <c r="R151" s="25" t="s">
        <v>9</v>
      </c>
      <c r="S151" s="5"/>
      <c r="T151" s="10"/>
      <c r="U151" s="10"/>
      <c r="V151" s="10"/>
      <c r="W151" s="13"/>
      <c r="X151" s="12"/>
      <c r="Y151" s="10"/>
      <c r="Z151" s="10"/>
      <c r="AA151" s="10"/>
      <c r="AB151" s="13"/>
      <c r="AC151" s="12"/>
    </row>
    <row r="152" spans="1:29" ht="14.4" x14ac:dyDescent="0.3">
      <c r="A152" s="24"/>
      <c r="B152" s="24"/>
      <c r="D152" s="10"/>
      <c r="E152" s="10"/>
      <c r="F152" s="10"/>
      <c r="G152" s="10"/>
      <c r="H152" s="10"/>
      <c r="I152" s="10"/>
      <c r="J152" s="10"/>
      <c r="K152" s="9"/>
      <c r="L152" s="15"/>
      <c r="M152" s="26" t="s">
        <v>8</v>
      </c>
      <c r="N152" s="5"/>
      <c r="O152" s="5"/>
      <c r="P152" s="5"/>
      <c r="Q152" s="15"/>
      <c r="R152" s="25" t="s">
        <v>8</v>
      </c>
      <c r="S152" s="5"/>
      <c r="T152" s="10"/>
      <c r="U152" s="10"/>
      <c r="V152" s="10"/>
      <c r="W152" s="13"/>
      <c r="X152" s="12"/>
      <c r="Y152" s="10"/>
      <c r="Z152" s="10"/>
      <c r="AA152" s="10"/>
      <c r="AB152" s="13"/>
      <c r="AC152" s="12"/>
    </row>
    <row r="153" spans="1:29" ht="14.4" x14ac:dyDescent="0.3">
      <c r="A153" s="11"/>
      <c r="B153" s="24"/>
      <c r="C153" s="10"/>
      <c r="D153" s="10"/>
      <c r="E153" s="10"/>
      <c r="F153" s="10"/>
      <c r="G153" s="10"/>
      <c r="H153" s="10"/>
      <c r="I153" s="10"/>
      <c r="J153" s="10"/>
      <c r="K153" s="9"/>
      <c r="L153" s="15"/>
      <c r="M153" s="26" t="s">
        <v>7</v>
      </c>
      <c r="N153" s="5"/>
      <c r="O153" s="5"/>
      <c r="P153" s="5"/>
      <c r="Q153" s="15"/>
      <c r="R153" s="25" t="s">
        <v>7</v>
      </c>
      <c r="S153" s="5"/>
      <c r="T153" s="10"/>
      <c r="U153" s="10"/>
      <c r="V153" s="10"/>
      <c r="W153" s="13"/>
      <c r="X153" s="12"/>
      <c r="Y153" s="10"/>
      <c r="Z153" s="10"/>
      <c r="AA153" s="10"/>
      <c r="AB153" s="13"/>
      <c r="AC153" s="12"/>
    </row>
    <row r="154" spans="1:29" ht="14.4" x14ac:dyDescent="0.3">
      <c r="A154" s="11"/>
      <c r="B154" s="24"/>
      <c r="C154" s="10"/>
      <c r="D154" s="10"/>
      <c r="E154" s="10"/>
      <c r="F154" s="10"/>
      <c r="G154" s="10"/>
      <c r="H154" s="10"/>
      <c r="I154" s="10"/>
      <c r="J154" s="10"/>
      <c r="K154" s="9"/>
      <c r="L154" s="15"/>
      <c r="M154" s="23" t="s">
        <v>6</v>
      </c>
      <c r="N154" s="5"/>
      <c r="O154" s="5"/>
      <c r="P154" s="5"/>
      <c r="Q154" s="15"/>
      <c r="R154" s="22" t="s">
        <v>6</v>
      </c>
      <c r="S154" s="5"/>
      <c r="T154" s="10"/>
      <c r="U154" s="10"/>
      <c r="V154" s="10"/>
      <c r="W154" s="13"/>
      <c r="X154" s="12"/>
      <c r="Y154" s="10"/>
      <c r="Z154" s="10"/>
      <c r="AA154" s="10"/>
      <c r="AB154" s="13"/>
      <c r="AC154" s="12"/>
    </row>
    <row r="155" spans="1:29" ht="12" x14ac:dyDescent="0.25">
      <c r="A155" s="11"/>
      <c r="B155" s="10"/>
      <c r="C155" s="10"/>
      <c r="D155" s="10"/>
      <c r="E155" s="10"/>
      <c r="F155" s="10"/>
      <c r="G155" s="10"/>
      <c r="H155" s="10"/>
      <c r="I155" s="10"/>
      <c r="J155" s="10"/>
      <c r="K155" s="9"/>
      <c r="L155" s="15"/>
      <c r="M155" s="21" t="s">
        <v>5</v>
      </c>
      <c r="N155" s="5"/>
      <c r="O155" s="5"/>
      <c r="P155" s="5"/>
      <c r="Q155" s="15"/>
      <c r="R155" s="20" t="s">
        <v>5</v>
      </c>
      <c r="S155" s="5"/>
      <c r="T155" s="10"/>
      <c r="U155" s="10"/>
      <c r="V155" s="10"/>
      <c r="W155" s="13"/>
      <c r="X155" s="12"/>
      <c r="Y155" s="10"/>
      <c r="Z155" s="10"/>
      <c r="AA155" s="10"/>
      <c r="AB155" s="13"/>
      <c r="AC155" s="12"/>
    </row>
    <row r="156" spans="1:29" ht="12" x14ac:dyDescent="0.25">
      <c r="A156" s="11"/>
      <c r="B156" s="10"/>
      <c r="C156" s="10"/>
      <c r="D156" s="10"/>
      <c r="E156" s="10"/>
      <c r="F156" s="10"/>
      <c r="G156" s="10"/>
      <c r="H156" s="10"/>
      <c r="I156" s="10"/>
      <c r="J156" s="10"/>
      <c r="K156" s="9"/>
      <c r="L156" s="15"/>
      <c r="M156" s="21" t="s">
        <v>4</v>
      </c>
      <c r="N156" s="5"/>
      <c r="O156" s="5"/>
      <c r="P156" s="5"/>
      <c r="Q156" s="15"/>
      <c r="R156" s="20" t="s">
        <v>4</v>
      </c>
      <c r="S156" s="5"/>
      <c r="T156" s="10"/>
      <c r="U156" s="10"/>
      <c r="V156" s="10"/>
      <c r="W156" s="13"/>
      <c r="X156" s="12"/>
      <c r="Y156" s="10"/>
      <c r="Z156" s="10"/>
      <c r="AA156" s="10"/>
      <c r="AB156" s="13"/>
      <c r="AC156" s="12"/>
    </row>
    <row r="157" spans="1:29" ht="12" x14ac:dyDescent="0.25">
      <c r="A157" s="11"/>
      <c r="B157" s="10"/>
      <c r="C157" s="10"/>
      <c r="D157" s="10"/>
      <c r="E157" s="10"/>
      <c r="F157" s="10"/>
      <c r="G157" s="10"/>
      <c r="H157" s="10"/>
      <c r="I157" s="10"/>
      <c r="J157" s="10"/>
      <c r="K157" s="9"/>
      <c r="L157" s="15"/>
      <c r="M157" s="19" t="s">
        <v>3</v>
      </c>
      <c r="N157" s="5"/>
      <c r="O157" s="5"/>
      <c r="P157" s="5"/>
      <c r="Q157" s="15"/>
      <c r="R157" s="18" t="s">
        <v>3</v>
      </c>
      <c r="S157" s="5"/>
      <c r="T157" s="10"/>
      <c r="U157" s="10"/>
      <c r="V157" s="10"/>
      <c r="W157" s="13"/>
      <c r="X157" s="12"/>
      <c r="Y157" s="10"/>
      <c r="Z157" s="10"/>
      <c r="AA157" s="10"/>
      <c r="AB157" s="13"/>
      <c r="AC157" s="12"/>
    </row>
    <row r="158" spans="1:29" ht="12" x14ac:dyDescent="0.25">
      <c r="A158" s="11"/>
      <c r="B158" s="10"/>
      <c r="C158" s="10"/>
      <c r="D158" s="10"/>
      <c r="E158" s="10"/>
      <c r="F158" s="11"/>
      <c r="G158" s="11"/>
      <c r="H158" s="11"/>
      <c r="I158" s="11"/>
      <c r="J158" s="10"/>
      <c r="K158" s="9"/>
      <c r="L158" s="15"/>
      <c r="M158" s="19" t="s">
        <v>2</v>
      </c>
      <c r="N158" s="16"/>
      <c r="O158" s="5"/>
      <c r="P158" s="5"/>
      <c r="Q158" s="15"/>
      <c r="R158" s="18" t="s">
        <v>2</v>
      </c>
      <c r="S158" s="5"/>
      <c r="T158" s="10"/>
      <c r="U158" s="10"/>
      <c r="V158" s="10"/>
      <c r="W158" s="13"/>
      <c r="X158" s="12"/>
      <c r="Y158" s="10"/>
      <c r="Z158" s="10"/>
      <c r="AA158" s="10"/>
      <c r="AB158" s="13"/>
      <c r="AC158" s="12"/>
    </row>
    <row r="159" spans="1:29" ht="12" x14ac:dyDescent="0.25">
      <c r="A159" s="11"/>
      <c r="B159" s="10"/>
      <c r="C159" s="10"/>
      <c r="D159" s="10"/>
      <c r="E159" s="10"/>
      <c r="F159" s="11"/>
      <c r="G159" s="11"/>
      <c r="H159" s="11"/>
      <c r="I159" s="11"/>
      <c r="J159" s="10"/>
      <c r="K159" s="9"/>
      <c r="L159" s="15"/>
      <c r="M159" s="17" t="s">
        <v>1</v>
      </c>
      <c r="N159" s="16"/>
      <c r="O159" s="5"/>
      <c r="P159" s="5"/>
      <c r="Q159" s="15"/>
      <c r="R159" s="14" t="s">
        <v>1</v>
      </c>
      <c r="S159" s="5"/>
      <c r="T159" s="10"/>
      <c r="U159" s="10"/>
      <c r="V159" s="10"/>
      <c r="W159" s="13"/>
      <c r="X159" s="12"/>
      <c r="Y159" s="10"/>
      <c r="Z159" s="10"/>
      <c r="AA159" s="10"/>
      <c r="AB159" s="13"/>
      <c r="AC159" s="12"/>
    </row>
    <row r="160" spans="1:29" ht="10.8" thickBot="1" x14ac:dyDescent="0.25">
      <c r="A160" s="11"/>
      <c r="B160" s="10"/>
      <c r="C160" s="10"/>
      <c r="D160" s="10"/>
      <c r="E160" s="10"/>
      <c r="F160" s="10"/>
      <c r="G160" s="10"/>
      <c r="H160" s="10"/>
      <c r="I160" s="10"/>
      <c r="J160" s="10"/>
      <c r="K160" s="9"/>
      <c r="L160" s="7"/>
      <c r="M160" s="8" t="s">
        <v>0</v>
      </c>
      <c r="N160" s="5"/>
      <c r="O160" s="5"/>
      <c r="P160" s="5"/>
      <c r="Q160" s="7"/>
      <c r="R160" s="6" t="s">
        <v>0</v>
      </c>
      <c r="S160" s="5"/>
      <c r="T160" s="4"/>
      <c r="U160" s="4"/>
      <c r="V160" s="4"/>
      <c r="W160" s="3"/>
      <c r="X160" s="2"/>
      <c r="Y160" s="4"/>
      <c r="Z160" s="4"/>
      <c r="AA160" s="4"/>
      <c r="AB160" s="3"/>
      <c r="AC160" s="2"/>
    </row>
    <row r="165" spans="7:7" x14ac:dyDescent="0.2">
      <c r="G165" s="1"/>
    </row>
  </sheetData>
  <mergeCells count="116">
    <mergeCell ref="G79:H79"/>
    <mergeCell ref="G80:H80"/>
    <mergeCell ref="G81:H81"/>
    <mergeCell ref="G40:H40"/>
    <mergeCell ref="G100:H100"/>
    <mergeCell ref="G41:H41"/>
    <mergeCell ref="G45:H45"/>
    <mergeCell ref="G46:H46"/>
    <mergeCell ref="G47:H47"/>
    <mergeCell ref="G49:H49"/>
    <mergeCell ref="G50:H50"/>
    <mergeCell ref="G43:H43"/>
    <mergeCell ref="G44:H44"/>
    <mergeCell ref="G42:H42"/>
    <mergeCell ref="G68:H68"/>
    <mergeCell ref="G69:H69"/>
    <mergeCell ref="G70:H70"/>
    <mergeCell ref="G71:H71"/>
    <mergeCell ref="G55:H55"/>
    <mergeCell ref="G66:H66"/>
    <mergeCell ref="G67:H67"/>
    <mergeCell ref="G65:H65"/>
    <mergeCell ref="G61:H61"/>
    <mergeCell ref="G62:H62"/>
    <mergeCell ref="G113:H113"/>
    <mergeCell ref="G103:H103"/>
    <mergeCell ref="G104:H104"/>
    <mergeCell ref="G105:H105"/>
    <mergeCell ref="G106:H106"/>
    <mergeCell ref="G114:H114"/>
    <mergeCell ref="G115:H115"/>
    <mergeCell ref="G101:H101"/>
    <mergeCell ref="G54:H54"/>
    <mergeCell ref="G56:H56"/>
    <mergeCell ref="G57:H57"/>
    <mergeCell ref="G58:H58"/>
    <mergeCell ref="G59:H59"/>
    <mergeCell ref="G111:H111"/>
    <mergeCell ref="G112:H112"/>
    <mergeCell ref="G82:H82"/>
    <mergeCell ref="G83:H83"/>
    <mergeCell ref="G84:H84"/>
    <mergeCell ref="G72:H72"/>
    <mergeCell ref="G73:H73"/>
    <mergeCell ref="G74:H74"/>
    <mergeCell ref="G76:H76"/>
    <mergeCell ref="G77:H77"/>
    <mergeCell ref="G78:H78"/>
    <mergeCell ref="G116:H116"/>
    <mergeCell ref="G24:H24"/>
    <mergeCell ref="G31:H31"/>
    <mergeCell ref="G34:H34"/>
    <mergeCell ref="G32:H32"/>
    <mergeCell ref="G107:H107"/>
    <mergeCell ref="G108:H108"/>
    <mergeCell ref="G110:H110"/>
    <mergeCell ref="G85:H85"/>
    <mergeCell ref="G86:H86"/>
    <mergeCell ref="G87:H87"/>
    <mergeCell ref="G88:H88"/>
    <mergeCell ref="G89:H89"/>
    <mergeCell ref="G90:H90"/>
    <mergeCell ref="G102:H102"/>
    <mergeCell ref="G91:H91"/>
    <mergeCell ref="G92:H92"/>
    <mergeCell ref="G93:H93"/>
    <mergeCell ref="G94:H94"/>
    <mergeCell ref="G95:H95"/>
    <mergeCell ref="G96:H96"/>
    <mergeCell ref="G97:H97"/>
    <mergeCell ref="G98:H98"/>
    <mergeCell ref="G99:H99"/>
    <mergeCell ref="G35:H35"/>
    <mergeCell ref="G36:H36"/>
    <mergeCell ref="G23:H23"/>
    <mergeCell ref="G51:H51"/>
    <mergeCell ref="G52:H52"/>
    <mergeCell ref="G53:H53"/>
    <mergeCell ref="G37:H37"/>
    <mergeCell ref="G38:H38"/>
    <mergeCell ref="G39:H39"/>
    <mergeCell ref="G48:H48"/>
    <mergeCell ref="G63:H63"/>
    <mergeCell ref="G64:H64"/>
    <mergeCell ref="G18:H18"/>
    <mergeCell ref="G17:H17"/>
    <mergeCell ref="K4:M4"/>
    <mergeCell ref="P4:R4"/>
    <mergeCell ref="U4:W4"/>
    <mergeCell ref="F8:H9"/>
    <mergeCell ref="G10:H10"/>
    <mergeCell ref="J10:M10"/>
    <mergeCell ref="O10:R10"/>
    <mergeCell ref="T10:W10"/>
    <mergeCell ref="G11:H11"/>
    <mergeCell ref="G12:H12"/>
    <mergeCell ref="G19:H19"/>
    <mergeCell ref="G20:H20"/>
    <mergeCell ref="G21:H21"/>
    <mergeCell ref="G25:H25"/>
    <mergeCell ref="G28:H28"/>
    <mergeCell ref="G26:H26"/>
    <mergeCell ref="G27:H27"/>
    <mergeCell ref="G29:H29"/>
    <mergeCell ref="G30:H30"/>
    <mergeCell ref="G22:H22"/>
    <mergeCell ref="Y10:AB10"/>
    <mergeCell ref="K2:M2"/>
    <mergeCell ref="P2:R2"/>
    <mergeCell ref="U2:W2"/>
    <mergeCell ref="K3:M3"/>
    <mergeCell ref="P3:R3"/>
    <mergeCell ref="U3:W3"/>
    <mergeCell ref="Z2:AB2"/>
    <mergeCell ref="Z3:AB3"/>
    <mergeCell ref="Z4:AB4"/>
  </mergeCells>
  <phoneticPr fontId="0" type="noConversion"/>
  <conditionalFormatting sqref="A119:E120 E121 B121:C121 E126 A122:E124 B125:E125 A126:C126">
    <cfRule type="cellIs" dxfId="106" priority="107" operator="equal">
      <formula>"inclusief"</formula>
    </cfRule>
  </conditionalFormatting>
  <conditionalFormatting sqref="A119:E120 E121 B121:C121 E126 A122:E124 B125:E125 A126:C126">
    <cfRule type="cellIs" dxfId="105" priority="103" operator="equal">
      <formula>"excl."</formula>
    </cfRule>
    <cfRule type="cellIs" dxfId="104" priority="104" operator="equal">
      <formula>"navragen"</formula>
    </cfRule>
  </conditionalFormatting>
  <conditionalFormatting sqref="A119:E120 E121 B121:C121 E126 A122:E124 B125:E125 A126:C126">
    <cfRule type="cellIs" dxfId="103" priority="105" operator="equal">
      <formula>"exclusief"</formula>
    </cfRule>
  </conditionalFormatting>
  <conditionalFormatting sqref="A119:E120 E121 B121:C121 E126 A122:E124 B125:E125 A126:C126">
    <cfRule type="cellIs" dxfId="102" priority="106" operator="equal">
      <formula>"incl."</formula>
    </cfRule>
  </conditionalFormatting>
  <conditionalFormatting sqref="M41">
    <cfRule type="cellIs" dxfId="101" priority="102" operator="equal">
      <formula>"exclusief"</formula>
    </cfRule>
  </conditionalFormatting>
  <conditionalFormatting sqref="E130 A127:E128 B129:E129 A130:C130">
    <cfRule type="cellIs" dxfId="100" priority="101" operator="equal">
      <formula>"inclusief"</formula>
    </cfRule>
  </conditionalFormatting>
  <conditionalFormatting sqref="E130 A127:E128 B129:E129 A130:C130">
    <cfRule type="cellIs" dxfId="99" priority="97" operator="equal">
      <formula>"excl."</formula>
    </cfRule>
    <cfRule type="cellIs" dxfId="98" priority="98" operator="equal">
      <formula>"navragen"</formula>
    </cfRule>
  </conditionalFormatting>
  <conditionalFormatting sqref="E130 A127:E128 B129:E129 A130:C130">
    <cfRule type="cellIs" dxfId="97" priority="99" operator="equal">
      <formula>"exclusief"</formula>
    </cfRule>
  </conditionalFormatting>
  <conditionalFormatting sqref="E130 A127:E128 B129:E129 A130:C130">
    <cfRule type="cellIs" dxfId="96" priority="100" operator="equal">
      <formula>"incl."</formula>
    </cfRule>
  </conditionalFormatting>
  <conditionalFormatting sqref="M45 R56:R66 M65:M66 R48:R49">
    <cfRule type="cellIs" dxfId="95" priority="93" operator="equal">
      <formula>$M$179</formula>
    </cfRule>
    <cfRule type="cellIs" dxfId="94" priority="94" operator="equal">
      <formula>$M$177</formula>
    </cfRule>
    <cfRule type="cellIs" dxfId="93" priority="95" operator="equal">
      <formula>$M$176</formula>
    </cfRule>
    <cfRule type="cellIs" dxfId="92" priority="96" operator="equal">
      <formula>$M$175</formula>
    </cfRule>
  </conditionalFormatting>
  <conditionalFormatting sqref="R45">
    <cfRule type="cellIs" dxfId="91" priority="89" operator="equal">
      <formula>$M$179</formula>
    </cfRule>
    <cfRule type="cellIs" dxfId="90" priority="90" operator="equal">
      <formula>$M$177</formula>
    </cfRule>
    <cfRule type="cellIs" dxfId="89" priority="91" operator="equal">
      <formula>$M$176</formula>
    </cfRule>
    <cfRule type="cellIs" dxfId="88" priority="92" operator="equal">
      <formula>$M$175</formula>
    </cfRule>
  </conditionalFormatting>
  <conditionalFormatting sqref="W45">
    <cfRule type="cellIs" dxfId="87" priority="85" operator="equal">
      <formula>$M$179</formula>
    </cfRule>
    <cfRule type="cellIs" dxfId="86" priority="86" operator="equal">
      <formula>$M$177</formula>
    </cfRule>
    <cfRule type="cellIs" dxfId="85" priority="87" operator="equal">
      <formula>$M$176</formula>
    </cfRule>
    <cfRule type="cellIs" dxfId="84" priority="88" operator="equal">
      <formula>$M$175</formula>
    </cfRule>
  </conditionalFormatting>
  <conditionalFormatting sqref="M45 M65:M66">
    <cfRule type="cellIs" dxfId="83" priority="75" operator="equal">
      <formula>$M$189</formula>
    </cfRule>
    <cfRule type="cellIs" dxfId="82" priority="76" operator="equal">
      <formula>$M$188</formula>
    </cfRule>
    <cfRule type="cellIs" dxfId="81" priority="77" operator="equal">
      <formula>$M$187</formula>
    </cfRule>
    <cfRule type="cellIs" dxfId="80" priority="78" operator="equal">
      <formula>$M$186</formula>
    </cfRule>
    <cfRule type="cellIs" dxfId="79" priority="79" operator="equal">
      <formula>$M$185</formula>
    </cfRule>
    <cfRule type="cellIs" dxfId="78" priority="80" operator="equal">
      <formula>$M$184</formula>
    </cfRule>
    <cfRule type="cellIs" dxfId="77" priority="81" operator="equal">
      <formula>$M$183</formula>
    </cfRule>
    <cfRule type="cellIs" dxfId="76" priority="82" operator="equal">
      <formula>$M$182</formula>
    </cfRule>
    <cfRule type="cellIs" dxfId="75" priority="83" operator="equal">
      <formula>$M$181</formula>
    </cfRule>
    <cfRule type="cellIs" dxfId="74" priority="84" operator="equal">
      <formula>$M$180</formula>
    </cfRule>
  </conditionalFormatting>
  <conditionalFormatting sqref="R45 W45 R56:R66 R48:R49">
    <cfRule type="cellIs" dxfId="73" priority="65" operator="equal">
      <formula>$R$186</formula>
    </cfRule>
    <cfRule type="cellIs" dxfId="72" priority="66" operator="equal">
      <formula>$R$189</formula>
    </cfRule>
    <cfRule type="cellIs" dxfId="71" priority="67" operator="equal">
      <formula>$R$188</formula>
    </cfRule>
    <cfRule type="cellIs" dxfId="70" priority="68" operator="equal">
      <formula>$R$187</formula>
    </cfRule>
    <cfRule type="cellIs" dxfId="69" priority="69" operator="equal">
      <formula>$R$182</formula>
    </cfRule>
    <cfRule type="cellIs" dxfId="68" priority="70" operator="equal">
      <formula>$R$181</formula>
    </cfRule>
    <cfRule type="cellIs" dxfId="67" priority="71" operator="equal">
      <formula>$R$180</formula>
    </cfRule>
    <cfRule type="cellIs" dxfId="66" priority="72" operator="equal">
      <formula>$R$179</formula>
    </cfRule>
    <cfRule type="cellIs" dxfId="65" priority="73" operator="equal">
      <formula>$R$177</formula>
    </cfRule>
    <cfRule type="cellIs" dxfId="64" priority="74" operator="equal">
      <formula>$R$176</formula>
    </cfRule>
  </conditionalFormatting>
  <conditionalFormatting sqref="T155:AC155">
    <cfRule type="cellIs" dxfId="63" priority="64" operator="equal">
      <formula>"inclusief"</formula>
    </cfRule>
  </conditionalFormatting>
  <conditionalFormatting sqref="T155:AC155">
    <cfRule type="cellIs" dxfId="62" priority="60" operator="equal">
      <formula>"excl."</formula>
    </cfRule>
    <cfRule type="cellIs" dxfId="61" priority="61" operator="equal">
      <formula>"navragen"</formula>
    </cfRule>
  </conditionalFormatting>
  <conditionalFormatting sqref="T155:AC155">
    <cfRule type="cellIs" dxfId="60" priority="62" operator="equal">
      <formula>"exclusief"</formula>
    </cfRule>
  </conditionalFormatting>
  <conditionalFormatting sqref="T155:AC155">
    <cfRule type="cellIs" dxfId="59" priority="63" operator="equal">
      <formula>"incl."</formula>
    </cfRule>
  </conditionalFormatting>
  <conditionalFormatting sqref="T149:AC149">
    <cfRule type="cellIs" dxfId="58" priority="59" operator="equal">
      <formula>"inclusief"</formula>
    </cfRule>
  </conditionalFormatting>
  <conditionalFormatting sqref="T149:AC149">
    <cfRule type="cellIs" dxfId="57" priority="55" operator="equal">
      <formula>"excl."</formula>
    </cfRule>
    <cfRule type="cellIs" dxfId="56" priority="56" operator="equal">
      <formula>"navragen"</formula>
    </cfRule>
  </conditionalFormatting>
  <conditionalFormatting sqref="T149:AC149">
    <cfRule type="cellIs" dxfId="55" priority="57" operator="equal">
      <formula>"exclusief"</formula>
    </cfRule>
  </conditionalFormatting>
  <conditionalFormatting sqref="T149:AC149">
    <cfRule type="cellIs" dxfId="54" priority="58" operator="equal">
      <formula>"incl."</formula>
    </cfRule>
  </conditionalFormatting>
  <conditionalFormatting sqref="T160:V160">
    <cfRule type="cellIs" dxfId="53" priority="54" operator="equal">
      <formula>"inclusief"</formula>
    </cfRule>
  </conditionalFormatting>
  <conditionalFormatting sqref="T160:V160">
    <cfRule type="cellIs" dxfId="52" priority="50" operator="equal">
      <formula>"excl."</formula>
    </cfRule>
    <cfRule type="cellIs" dxfId="51" priority="51" operator="equal">
      <formula>"navragen"</formula>
    </cfRule>
  </conditionalFormatting>
  <conditionalFormatting sqref="T160:V160">
    <cfRule type="cellIs" dxfId="50" priority="52" operator="equal">
      <formula>"exclusief"</formula>
    </cfRule>
  </conditionalFormatting>
  <conditionalFormatting sqref="T160:V160">
    <cfRule type="cellIs" dxfId="49" priority="53" operator="equal">
      <formula>"incl."</formula>
    </cfRule>
  </conditionalFormatting>
  <conditionalFormatting sqref="W160">
    <cfRule type="cellIs" dxfId="48" priority="49" operator="equal">
      <formula>"inclusief"</formula>
    </cfRule>
  </conditionalFormatting>
  <conditionalFormatting sqref="W160">
    <cfRule type="cellIs" dxfId="47" priority="45" operator="equal">
      <formula>"excl."</formula>
    </cfRule>
    <cfRule type="cellIs" dxfId="46" priority="46" operator="equal">
      <formula>"navragen"</formula>
    </cfRule>
  </conditionalFormatting>
  <conditionalFormatting sqref="W160">
    <cfRule type="cellIs" dxfId="45" priority="47" operator="equal">
      <formula>"exclusief"</formula>
    </cfRule>
  </conditionalFormatting>
  <conditionalFormatting sqref="W160">
    <cfRule type="cellIs" dxfId="44" priority="48" operator="equal">
      <formula>"incl."</formula>
    </cfRule>
  </conditionalFormatting>
  <conditionalFormatting sqref="X160">
    <cfRule type="cellIs" dxfId="43" priority="44" operator="equal">
      <formula>"inclusief"</formula>
    </cfRule>
  </conditionalFormatting>
  <conditionalFormatting sqref="X160">
    <cfRule type="cellIs" dxfId="42" priority="40" operator="equal">
      <formula>"excl."</formula>
    </cfRule>
    <cfRule type="cellIs" dxfId="41" priority="41" operator="equal">
      <formula>"navragen"</formula>
    </cfRule>
  </conditionalFormatting>
  <conditionalFormatting sqref="X160">
    <cfRule type="cellIs" dxfId="40" priority="42" operator="equal">
      <formula>"exclusief"</formula>
    </cfRule>
  </conditionalFormatting>
  <conditionalFormatting sqref="X160">
    <cfRule type="cellIs" dxfId="39" priority="43" operator="equal">
      <formula>"incl."</formula>
    </cfRule>
  </conditionalFormatting>
  <conditionalFormatting sqref="AB45">
    <cfRule type="cellIs" dxfId="38" priority="36" operator="equal">
      <formula>$M$179</formula>
    </cfRule>
    <cfRule type="cellIs" dxfId="37" priority="37" operator="equal">
      <formula>$M$177</formula>
    </cfRule>
    <cfRule type="cellIs" dxfId="36" priority="38" operator="equal">
      <formula>$M$176</formula>
    </cfRule>
    <cfRule type="cellIs" dxfId="35" priority="39" operator="equal">
      <formula>$M$175</formula>
    </cfRule>
  </conditionalFormatting>
  <conditionalFormatting sqref="AB45">
    <cfRule type="cellIs" dxfId="34" priority="26" operator="equal">
      <formula>$R$186</formula>
    </cfRule>
    <cfRule type="cellIs" dxfId="33" priority="27" operator="equal">
      <formula>$R$189</formula>
    </cfRule>
    <cfRule type="cellIs" dxfId="32" priority="28" operator="equal">
      <formula>$R$188</formula>
    </cfRule>
    <cfRule type="cellIs" dxfId="31" priority="29" operator="equal">
      <formula>$R$187</formula>
    </cfRule>
    <cfRule type="cellIs" dxfId="30" priority="30" operator="equal">
      <formula>$R$182</formula>
    </cfRule>
    <cfRule type="cellIs" dxfId="29" priority="31" operator="equal">
      <formula>$R$181</formula>
    </cfRule>
    <cfRule type="cellIs" dxfId="28" priority="32" operator="equal">
      <formula>$R$180</formula>
    </cfRule>
    <cfRule type="cellIs" dxfId="27" priority="33" operator="equal">
      <formula>$R$179</formula>
    </cfRule>
    <cfRule type="cellIs" dxfId="26" priority="34" operator="equal">
      <formula>$R$177</formula>
    </cfRule>
    <cfRule type="cellIs" dxfId="25" priority="35" operator="equal">
      <formula>$R$176</formula>
    </cfRule>
  </conditionalFormatting>
  <conditionalFormatting sqref="Y160:AA160">
    <cfRule type="cellIs" dxfId="24" priority="25" operator="equal">
      <formula>"inclusief"</formula>
    </cfRule>
  </conditionalFormatting>
  <conditionalFormatting sqref="Y160:AA160">
    <cfRule type="cellIs" dxfId="23" priority="21" operator="equal">
      <formula>"excl."</formula>
    </cfRule>
    <cfRule type="cellIs" dxfId="22" priority="22" operator="equal">
      <formula>"navragen"</formula>
    </cfRule>
  </conditionalFormatting>
  <conditionalFormatting sqref="Y160:AA160">
    <cfRule type="cellIs" dxfId="21" priority="23" operator="equal">
      <formula>"exclusief"</formula>
    </cfRule>
  </conditionalFormatting>
  <conditionalFormatting sqref="Y160:AA160">
    <cfRule type="cellIs" dxfId="20" priority="24" operator="equal">
      <formula>"incl."</formula>
    </cfRule>
  </conditionalFormatting>
  <conditionalFormatting sqref="AB160">
    <cfRule type="cellIs" dxfId="19" priority="20" operator="equal">
      <formula>"inclusief"</formula>
    </cfRule>
  </conditionalFormatting>
  <conditionalFormatting sqref="AB160">
    <cfRule type="cellIs" dxfId="18" priority="16" operator="equal">
      <formula>"excl."</formula>
    </cfRule>
    <cfRule type="cellIs" dxfId="17" priority="17" operator="equal">
      <formula>"navragen"</formula>
    </cfRule>
  </conditionalFormatting>
  <conditionalFormatting sqref="AB160">
    <cfRule type="cellIs" dxfId="16" priority="18" operator="equal">
      <formula>"exclusief"</formula>
    </cfRule>
  </conditionalFormatting>
  <conditionalFormatting sqref="AB160">
    <cfRule type="cellIs" dxfId="15" priority="19" operator="equal">
      <formula>"incl."</formula>
    </cfRule>
  </conditionalFormatting>
  <conditionalFormatting sqref="AC160">
    <cfRule type="cellIs" dxfId="14" priority="15" operator="equal">
      <formula>"inclusief"</formula>
    </cfRule>
  </conditionalFormatting>
  <conditionalFormatting sqref="AC160">
    <cfRule type="cellIs" dxfId="13" priority="11" operator="equal">
      <formula>"excl."</formula>
    </cfRule>
    <cfRule type="cellIs" dxfId="12" priority="12" operator="equal">
      <formula>"navragen"</formula>
    </cfRule>
  </conditionalFormatting>
  <conditionalFormatting sqref="AC160">
    <cfRule type="cellIs" dxfId="11" priority="13" operator="equal">
      <formula>"exclusief"</formula>
    </cfRule>
  </conditionalFormatting>
  <conditionalFormatting sqref="AC160">
    <cfRule type="cellIs" dxfId="10" priority="14" operator="equal">
      <formula>"incl."</formula>
    </cfRule>
  </conditionalFormatting>
  <conditionalFormatting sqref="E134 A131:E132 B133:D133 A134:C134">
    <cfRule type="cellIs" dxfId="9" priority="10" operator="equal">
      <formula>"inclusief"</formula>
    </cfRule>
  </conditionalFormatting>
  <conditionalFormatting sqref="E134 A131:E132 B133:D133 A134:C134">
    <cfRule type="cellIs" dxfId="8" priority="6" operator="equal">
      <formula>"excl."</formula>
    </cfRule>
    <cfRule type="cellIs" dxfId="7" priority="7" operator="equal">
      <formula>"navragen"</formula>
    </cfRule>
  </conditionalFormatting>
  <conditionalFormatting sqref="E134 A131:E132 B133:D133 A134:C134">
    <cfRule type="cellIs" dxfId="6" priority="8" operator="equal">
      <formula>"exclusief"</formula>
    </cfRule>
  </conditionalFormatting>
  <conditionalFormatting sqref="E134 A131:E132 B133:D133 A134:C134">
    <cfRule type="cellIs" dxfId="5" priority="9" operator="equal">
      <formula>"incl."</formula>
    </cfRule>
  </conditionalFormatting>
  <conditionalFormatting sqref="E133">
    <cfRule type="cellIs" dxfId="4" priority="5" operator="equal">
      <formula>"inclusief"</formula>
    </cfRule>
  </conditionalFormatting>
  <conditionalFormatting sqref="E133">
    <cfRule type="cellIs" dxfId="3" priority="1" operator="equal">
      <formula>"excl."</formula>
    </cfRule>
    <cfRule type="cellIs" dxfId="2" priority="2" operator="equal">
      <formula>"navragen"</formula>
    </cfRule>
  </conditionalFormatting>
  <conditionalFormatting sqref="E133">
    <cfRule type="cellIs" dxfId="1" priority="3" operator="equal">
      <formula>"exclusief"</formula>
    </cfRule>
  </conditionalFormatting>
  <conditionalFormatting sqref="E133">
    <cfRule type="cellIs" dxfId="0" priority="4" operator="equal">
      <formula>"incl."</formula>
    </cfRule>
  </conditionalFormatting>
  <pageMargins left="0.23622047244094491" right="0.23622047244094491" top="0.74803149606299213" bottom="0.74803149606299213" header="0.31496062992125984" footer="0.31496062992125984"/>
  <pageSetup paperSize="8" fitToHeight="0" orientation="portrait" r:id="rId1"/>
  <headerFooter>
    <oddFooter>&amp;C23.1 inkoopspecificatie kanaalplaten DC lighthouse 220415</oddFooter>
  </headerFooter>
  <rowBreaks count="1" manualBreakCount="1">
    <brk id="118" min="5" max="1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23.1_Kanaalplaten</vt:lpstr>
      <vt:lpstr>'23.1_Kanaalplaten'!Afdrukbereik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Mijke Lammertsma</dc:creator>
  <cp:lastModifiedBy>Mijke Lammertsma</cp:lastModifiedBy>
  <cp:lastPrinted>2022-09-30T11:44:45Z</cp:lastPrinted>
  <dcterms:created xsi:type="dcterms:W3CDTF">2022-07-28T11:22:42Z</dcterms:created>
  <dcterms:modified xsi:type="dcterms:W3CDTF">2023-02-07T12:03:21Z</dcterms:modified>
</cp:coreProperties>
</file>